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B46CAD93-90B6-4B27-919F-2313B0B9E1B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Delays-Dec-24" sheetId="2" r:id="rId2"/>
    <sheet name="Pareto graph-Dec 24" sheetId="3" r:id="rId3"/>
    <sheet name="Delays-Jan-25" sheetId="4" r:id="rId4"/>
    <sheet name="Pareto graph-JAN 25 " sheetId="5" r:id="rId5"/>
    <sheet name="Delays-Feb-25" sheetId="6" r:id="rId6"/>
    <sheet name="Pareto graph-Feb 25" sheetId="7" r:id="rId7"/>
    <sheet name="ISHIKAWA- EAF Electrode Breakag" sheetId="8" r:id="rId8"/>
    <sheet name="SMS II EAF Electrode" sheetId="9" r:id="rId9"/>
    <sheet name="SMS Improvement Projects" sheetId="10" r:id="rId10"/>
    <sheet name="Sheet2" sheetId="11" r:id="rId11"/>
  </sheets>
  <definedNames>
    <definedName name="_xlnm._FilterDatabase" localSheetId="3" hidden="1">'Delays-Jan-25'!$F$1:$F$59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bfbMoylGpJ+kxf4pLPl+tLcG0281vxCIHTrePjAkuM="/>
    </ext>
  </extLst>
</workbook>
</file>

<file path=xl/calcChain.xml><?xml version="1.0" encoding="utf-8"?>
<calcChain xmlns="http://schemas.openxmlformats.org/spreadsheetml/2006/main">
  <c r="D77" i="7" l="1"/>
  <c r="D56" i="7"/>
  <c r="D34" i="7"/>
  <c r="D16" i="7"/>
  <c r="E11" i="7"/>
  <c r="E10" i="7"/>
  <c r="E9" i="7"/>
  <c r="E8" i="7"/>
  <c r="E7" i="7"/>
  <c r="E6" i="7"/>
  <c r="E5" i="7"/>
  <c r="E4" i="7"/>
  <c r="E3" i="7"/>
  <c r="D61" i="5"/>
  <c r="D38" i="5"/>
  <c r="D18" i="5"/>
  <c r="D4" i="5"/>
  <c r="F68" i="3"/>
  <c r="F50" i="3"/>
  <c r="F30" i="3"/>
  <c r="F29" i="3"/>
  <c r="F4" i="3"/>
  <c r="V35" i="1"/>
  <c r="V36" i="1" s="1"/>
  <c r="U35" i="1"/>
  <c r="U36" i="1" s="1"/>
  <c r="T35" i="1"/>
  <c r="T36" i="1" s="1"/>
  <c r="E35" i="1"/>
  <c r="E36" i="1" s="1"/>
  <c r="D35" i="1"/>
  <c r="D36" i="1" s="1"/>
  <c r="C35" i="1"/>
  <c r="C36" i="1" s="1"/>
  <c r="V16" i="1"/>
  <c r="V17" i="1" s="1"/>
  <c r="U16" i="1"/>
  <c r="U17" i="1" s="1"/>
  <c r="T16" i="1"/>
  <c r="T17" i="1" s="1"/>
  <c r="E16" i="1"/>
  <c r="E17" i="1" s="1"/>
  <c r="D16" i="1"/>
  <c r="D17" i="1" s="1"/>
  <c r="C16" i="1"/>
  <c r="C17" i="1" s="1"/>
  <c r="D78" i="7" l="1"/>
  <c r="E78" i="7" s="1"/>
  <c r="E77" i="7"/>
  <c r="D57" i="7"/>
  <c r="D35" i="7"/>
  <c r="D17" i="7"/>
  <c r="D62" i="5"/>
  <c r="D39" i="5"/>
  <c r="D19" i="5"/>
  <c r="D5" i="5"/>
  <c r="F69" i="3"/>
  <c r="F51" i="3"/>
  <c r="F31" i="3"/>
  <c r="F5" i="3"/>
  <c r="D58" i="7" l="1"/>
  <c r="E57" i="7"/>
  <c r="D36" i="7"/>
  <c r="D18" i="7"/>
  <c r="D63" i="5"/>
  <c r="D40" i="5"/>
  <c r="D20" i="5"/>
  <c r="E19" i="5"/>
  <c r="D6" i="5"/>
  <c r="F70" i="3"/>
  <c r="F52" i="3"/>
  <c r="F32" i="3"/>
  <c r="F6" i="3"/>
  <c r="E56" i="7" l="1"/>
  <c r="E58" i="7"/>
  <c r="D37" i="7"/>
  <c r="D19" i="7"/>
  <c r="D64" i="5"/>
  <c r="E63" i="5"/>
  <c r="D41" i="5"/>
  <c r="E18" i="5"/>
  <c r="E20" i="5"/>
  <c r="E17" i="5"/>
  <c r="D7" i="5"/>
  <c r="F71" i="3"/>
  <c r="F53" i="3"/>
  <c r="G52" i="3"/>
  <c r="F33" i="3"/>
  <c r="F7" i="3"/>
  <c r="E37" i="7" l="1"/>
  <c r="D38" i="7"/>
  <c r="D20" i="7"/>
  <c r="E62" i="5"/>
  <c r="E61" i="5"/>
  <c r="E64" i="5"/>
  <c r="D42" i="5"/>
  <c r="D8" i="5"/>
  <c r="F72" i="3"/>
  <c r="G71" i="3"/>
  <c r="G51" i="3"/>
  <c r="G50" i="3"/>
  <c r="G53" i="3"/>
  <c r="G49" i="3"/>
  <c r="F34" i="3"/>
  <c r="G33" i="3"/>
  <c r="F8" i="3"/>
  <c r="E36" i="7" l="1"/>
  <c r="E35" i="7"/>
  <c r="E34" i="7"/>
  <c r="E38" i="7"/>
  <c r="D21" i="7"/>
  <c r="E20" i="7"/>
  <c r="D43" i="5"/>
  <c r="E42" i="5"/>
  <c r="D9" i="5"/>
  <c r="G70" i="3"/>
  <c r="G69" i="3"/>
  <c r="G68" i="3"/>
  <c r="G72" i="3"/>
  <c r="G67" i="3"/>
  <c r="G32" i="3"/>
  <c r="G31" i="3"/>
  <c r="G30" i="3"/>
  <c r="G29" i="3"/>
  <c r="G34" i="3"/>
  <c r="G28" i="3"/>
  <c r="F9" i="3"/>
  <c r="E19" i="7" l="1"/>
  <c r="E18" i="7"/>
  <c r="E17" i="7"/>
  <c r="E16" i="7"/>
  <c r="E15" i="7"/>
  <c r="E21" i="7"/>
  <c r="E41" i="5"/>
  <c r="E40" i="5"/>
  <c r="E39" i="5"/>
  <c r="E38" i="5"/>
  <c r="E43" i="5"/>
  <c r="D10" i="5"/>
  <c r="E9" i="5"/>
  <c r="F10" i="3"/>
  <c r="E8" i="5" l="1"/>
  <c r="E7" i="5"/>
  <c r="E6" i="5"/>
  <c r="E5" i="5"/>
  <c r="E4" i="5"/>
  <c r="E3" i="5"/>
  <c r="E10" i="5"/>
  <c r="F11" i="3"/>
  <c r="G10" i="3" s="1"/>
  <c r="G9" i="3" l="1"/>
  <c r="G8" i="3"/>
  <c r="G7" i="3"/>
  <c r="G6" i="3"/>
  <c r="G5" i="3"/>
  <c r="G4" i="3"/>
  <c r="G11" i="3"/>
  <c r="G3" i="3"/>
</calcChain>
</file>

<file path=xl/sharedStrings.xml><?xml version="1.0" encoding="utf-8"?>
<sst xmlns="http://schemas.openxmlformats.org/spreadsheetml/2006/main" count="1600" uniqueCount="595">
  <si>
    <t>SMS-2</t>
  </si>
  <si>
    <t>AGENCY</t>
  </si>
  <si>
    <t>Dec</t>
  </si>
  <si>
    <t>Jan</t>
  </si>
  <si>
    <t>OPER/CASTER</t>
  </si>
  <si>
    <t>MECH</t>
  </si>
  <si>
    <t>ELEC</t>
  </si>
  <si>
    <t>BF</t>
  </si>
  <si>
    <t>GARAGE</t>
  </si>
  <si>
    <t>CMD-CRANE/LOCO</t>
  </si>
  <si>
    <t>MRSS/EPS</t>
  </si>
  <si>
    <t>PLAN-POWER/DRI</t>
  </si>
  <si>
    <t>OTHER/ PLANNING</t>
  </si>
  <si>
    <t>REF.</t>
  </si>
  <si>
    <t>METTALIC/FLUX</t>
  </si>
  <si>
    <t>P/S/D</t>
  </si>
  <si>
    <t>TOTAL DELAY (IN MINS)</t>
  </si>
  <si>
    <t>Plant Avilability</t>
  </si>
  <si>
    <t>PRODUCTION</t>
  </si>
  <si>
    <t>SMS-3</t>
  </si>
  <si>
    <t>BF-1</t>
  </si>
  <si>
    <t>OTHERS/PLANNING</t>
  </si>
  <si>
    <t>CMD/UTILITY/LOCO</t>
  </si>
  <si>
    <t>P/S/DOWN</t>
  </si>
  <si>
    <t>DATE</t>
  </si>
  <si>
    <t>AREA</t>
  </si>
  <si>
    <t>DELAY DESCRIPTION</t>
  </si>
  <si>
    <t>EQUIP</t>
  </si>
  <si>
    <t>SUB-EQUIP</t>
  </si>
  <si>
    <t>DURATION</t>
  </si>
  <si>
    <t>01.12.2024</t>
  </si>
  <si>
    <t>NOF</t>
  </si>
  <si>
    <t>NOF TAPPING TROLLY CABLE BROKEN</t>
  </si>
  <si>
    <t>OPER</t>
  </si>
  <si>
    <t>TAPPING TROLLEY</t>
  </si>
  <si>
    <t>CABLE</t>
  </si>
  <si>
    <t>06.12.2024</t>
  </si>
  <si>
    <t>EAF</t>
  </si>
  <si>
    <t>EBT JAM</t>
  </si>
  <si>
    <t>EBT</t>
  </si>
  <si>
    <t>PURGING FAILED</t>
  </si>
  <si>
    <t>LRF</t>
  </si>
  <si>
    <t>PURGING</t>
  </si>
  <si>
    <t>RH VESSEL PREMATURE FAILED</t>
  </si>
  <si>
    <t>REF</t>
  </si>
  <si>
    <t>RH</t>
  </si>
  <si>
    <t>SNORKEL</t>
  </si>
  <si>
    <t>07.12.2024</t>
  </si>
  <si>
    <t>LRF BAY DSL TRIP</t>
  </si>
  <si>
    <t>E&amp;I</t>
  </si>
  <si>
    <t>CRANE</t>
  </si>
  <si>
    <t>180T CRANE</t>
  </si>
  <si>
    <t>DSL</t>
  </si>
  <si>
    <t>180T CRANE B/D (CURRENT COLLECTOR FALLEN)</t>
  </si>
  <si>
    <t>COMBI CASTER 3 STRAND RUNNING</t>
  </si>
  <si>
    <t>COMBI</t>
  </si>
  <si>
    <t>WITHDRAWAL</t>
  </si>
  <si>
    <t>GUIDE</t>
  </si>
  <si>
    <t>LRF-III E3 BROKEN</t>
  </si>
  <si>
    <t>ELECTRODE</t>
  </si>
  <si>
    <t>GUIDE ROLL</t>
  </si>
  <si>
    <t>08.12.2024</t>
  </si>
  <si>
    <t>E-2 BROKEN</t>
  </si>
  <si>
    <t>COMBI CASTER TWO STRAND RUNNING</t>
  </si>
  <si>
    <t>TUNDISH</t>
  </si>
  <si>
    <t>SEN</t>
  </si>
  <si>
    <t>BILLET CASTER START UP DELAY DUE TO TUNDISH CAR TRACK ISSUE</t>
  </si>
  <si>
    <t>BILLET</t>
  </si>
  <si>
    <t>RAIL TRACK</t>
  </si>
  <si>
    <t>KT-4 BLOCK CHANGE DUE TO LEAKAGE</t>
  </si>
  <si>
    <t>LANCE</t>
  </si>
  <si>
    <t>KT BLOCK</t>
  </si>
  <si>
    <t>10.12.2024</t>
  </si>
  <si>
    <t>U/P SEQ. BREAK IN COMBI CASTER DUE TO TWO STRAND SEN BROKEN</t>
  </si>
  <si>
    <t>11.12.2024</t>
  </si>
  <si>
    <t>COMBI CASTER STARTUP DELAY DUE TO PLC UNHEALTHY</t>
  </si>
  <si>
    <t>PLC</t>
  </si>
  <si>
    <t>HOOTER</t>
  </si>
  <si>
    <t>CARRIER B/D</t>
  </si>
  <si>
    <t>CARRIER</t>
  </si>
  <si>
    <t>CYLINDER</t>
  </si>
  <si>
    <t>COMBI CASTER TWO STRAND RUNNING (TWO STRAND SEN BROKEN)</t>
  </si>
  <si>
    <t>12.12.2024</t>
  </si>
  <si>
    <t>COMBI CASTER STARTUP DELAY (DUMMY BAR ISSUE)</t>
  </si>
  <si>
    <t>SEG#3</t>
  </si>
  <si>
    <t>ROLLER</t>
  </si>
  <si>
    <t>COMBI CASTER UNPLANNED SEQ. BREAK DUE TO MOULD PUMP TRIPPED</t>
  </si>
  <si>
    <t>WATER PUMP</t>
  </si>
  <si>
    <t>MOTOR</t>
  </si>
  <si>
    <t>SLAB CASTER UNPLANNED SEQ. BREAK DUE TO MOULD STICKER ISSUE</t>
  </si>
  <si>
    <t>SLAB</t>
  </si>
  <si>
    <t>MOULD</t>
  </si>
  <si>
    <t>CASTING POWDER</t>
  </si>
  <si>
    <t>13.12.2024</t>
  </si>
  <si>
    <t>LRF-III B/D DUE TO HYDRAULIC LINE LEAKAGE</t>
  </si>
  <si>
    <t>HYDRAULIC LINE</t>
  </si>
  <si>
    <t xml:space="preserve">LRF </t>
  </si>
  <si>
    <t>14.12.2024</t>
  </si>
  <si>
    <t>BILLET CASTER FOUR STRAND RUNNING</t>
  </si>
  <si>
    <t>CHOCKING</t>
  </si>
  <si>
    <t>ARCING ISSUE IN EAF-II</t>
  </si>
  <si>
    <t>15.12.2024</t>
  </si>
  <si>
    <t>180-TONE CRANE B/D (AH ROPE DRUM SHAFT BROKEN)</t>
  </si>
  <si>
    <t>UTILITY(MECH)</t>
  </si>
  <si>
    <t>ROPE DRUM</t>
  </si>
  <si>
    <t>180-TONE CRANE B/D (AH ROOPE DRUM SHAFT BROKEN)</t>
  </si>
  <si>
    <t>UTILITY</t>
  </si>
  <si>
    <t>EAF-II  COMBUSTION CHAMBER PANEL WELDING</t>
  </si>
  <si>
    <t>CC</t>
  </si>
  <si>
    <t>PANAL</t>
  </si>
  <si>
    <t>16.12.2024</t>
  </si>
  <si>
    <t>GUNNING MACHINE B/D</t>
  </si>
  <si>
    <t>GUNNING MACHINE</t>
  </si>
  <si>
    <t>KT-4 BLOCK LEAKAGE</t>
  </si>
  <si>
    <t>17.12.2024</t>
  </si>
  <si>
    <t>F/C REPAIR</t>
  </si>
  <si>
    <t>SHELL</t>
  </si>
  <si>
    <t>REFRACTORY</t>
  </si>
  <si>
    <t>E1 FALLEN DURING CHANGING</t>
  </si>
  <si>
    <t>18.12.2024</t>
  </si>
  <si>
    <t>LRF-3 WIRE FEDDING PROBLEM</t>
  </si>
  <si>
    <t>WIRE FEEDING</t>
  </si>
  <si>
    <t>20.12.2024</t>
  </si>
  <si>
    <t>21.12.2024</t>
  </si>
  <si>
    <t>PANEL NO.-9 HOSE DAMAGE</t>
  </si>
  <si>
    <t>PANEL</t>
  </si>
  <si>
    <t>22.12.2024</t>
  </si>
  <si>
    <t xml:space="preserve">SLAB CASTER UNPLANNED SEQ. BREAK </t>
  </si>
  <si>
    <t>LADLE LATE</t>
  </si>
  <si>
    <t>LRF BAY 200-TON CRANE B/D</t>
  </si>
  <si>
    <t>200T CRANE</t>
  </si>
  <si>
    <t>COMBI CASTER UNPLANNED SEQ. BREAK DUE TO TUNDISH MASS FALLING</t>
  </si>
  <si>
    <t>E-1 BROKEN AT LRF-II</t>
  </si>
  <si>
    <t>CHEMISTRY DEVIATION</t>
  </si>
  <si>
    <t>CHEMISTRY</t>
  </si>
  <si>
    <t>23.12.2024</t>
  </si>
  <si>
    <t>LRF-II ELECTRODE BROKEN</t>
  </si>
  <si>
    <t>CARBON DILUTION DONE DUE TO ELECTRODE BREAKAGE</t>
  </si>
  <si>
    <t>PURGING FAIL (PLUG SPARK)</t>
  </si>
  <si>
    <t>COMBI CASTER START UP DELAY DUE TO DUMMY BAR INSERTION PROBLEM</t>
  </si>
  <si>
    <t>DUMMY BAR</t>
  </si>
  <si>
    <t>LRF-I &amp; LRF-II UNPLANNED ELECTRODE CHANGE DUE TO GAP IN ELECTRODE</t>
  </si>
  <si>
    <t>25.12.2024</t>
  </si>
  <si>
    <t>E-3 BROKEN (DURING TILT BACK)</t>
  </si>
  <si>
    <t>GANATRY</t>
  </si>
  <si>
    <t>26.12.2024</t>
  </si>
  <si>
    <t>29.12.2024</t>
  </si>
  <si>
    <t>EAF-II PANEL NO.9 TEMP ISSUE</t>
  </si>
  <si>
    <t>Sl No</t>
  </si>
  <si>
    <t>Area</t>
  </si>
  <si>
    <t>DURATION (MIN)</t>
  </si>
  <si>
    <t>CUMULATIVE</t>
  </si>
  <si>
    <t>CUMULATIVE%</t>
  </si>
  <si>
    <t>ELECTRODE BROKEN</t>
  </si>
  <si>
    <t>SHELL REPAIR</t>
  </si>
  <si>
    <t>LANCE LEAKAGE</t>
  </si>
  <si>
    <t>COMBUSTION CHAMBER</t>
  </si>
  <si>
    <t>GUNNING M/C</t>
  </si>
  <si>
    <t>Performance Loss Type</t>
  </si>
  <si>
    <t>Occurence</t>
  </si>
  <si>
    <t>Root Cause</t>
  </si>
  <si>
    <t>Corrective Action</t>
  </si>
  <si>
    <t>Timeline</t>
  </si>
  <si>
    <t>Status</t>
  </si>
  <si>
    <t>Preventive Action</t>
  </si>
  <si>
    <t>REPEATED</t>
  </si>
  <si>
    <t>Gap between EAF roof lifting cylinder block &amp; housing increased so during fast tilt back electrode broken. This is a part of Gantry</t>
  </si>
  <si>
    <t>Presently we are fixing the plate to minimze the Gap</t>
  </si>
  <si>
    <t>Immediate</t>
  </si>
  <si>
    <t>Done</t>
  </si>
  <si>
    <t xml:space="preserve">In capital shutdown -Gantry to be replaced </t>
  </si>
  <si>
    <t>Planned in capital shutdown</t>
  </si>
  <si>
    <t>ONE TIME</t>
  </si>
  <si>
    <t>Refractory damage due to high erosion</t>
  </si>
  <si>
    <t>Peripherial refractory lining changed</t>
  </si>
  <si>
    <t>Ensure no moiture &amp; water after every 150 heats</t>
  </si>
  <si>
    <t>Original design / Modified design (2 times) were inadequate.</t>
  </si>
  <si>
    <t>3rd Modification in design  done and proved sucessful.New modified lance installed</t>
  </si>
  <si>
    <t>Modified lance to be installed in spare shell also</t>
  </si>
  <si>
    <t>PURGING FAIL</t>
  </si>
  <si>
    <t>ROOF LIFTING CYLINDER LEAKAGE</t>
  </si>
  <si>
    <t>LADLE DELAY</t>
  </si>
  <si>
    <t>WIRE FEEDING M/C BREAKDOWN</t>
  </si>
  <si>
    <t>1. Hardening of Slag 2.Roof Taper</t>
  </si>
  <si>
    <t>1. Avoid holding of ladles 2.Roof balancing done</t>
  </si>
  <si>
    <t>1. Ensuring Ladle not to be hold for longer duration  2. Roof balancing to be ensured during every shutdown</t>
  </si>
  <si>
    <t>PURGING FAILURE</t>
  </si>
  <si>
    <t>1. Bottom Temp Low 2. Tapping Temp low</t>
  </si>
  <si>
    <t>Re-ladeling done</t>
  </si>
  <si>
    <t>1. Ensure ladle bottom temp must be greater than 800 degree   2. Ensure tapping temp from EAF/NOF 1610 degree</t>
  </si>
  <si>
    <t>MOULD PUMP</t>
  </si>
  <si>
    <t>MOULD PUMP TRIP</t>
  </si>
  <si>
    <t>MOTOR FAILURE DUE TO WINDING DAMAGE</t>
  </si>
  <si>
    <t>TRANSDUCER FIXED FOR CONTINOUS CURRENT MONITORING</t>
  </si>
  <si>
    <t>IMMEDIATE</t>
  </si>
  <si>
    <t>IMPLEMENTED</t>
  </si>
  <si>
    <t>ENSURING LUBRICATION OF MOTOR BEARING IN EVERY 1 MONTH</t>
  </si>
  <si>
    <t>30 DAYS</t>
  </si>
  <si>
    <t>SEG#3 ROLLER BEARING FAIL</t>
  </si>
  <si>
    <t>BEARING DAMAGE</t>
  </si>
  <si>
    <t>ROLLER ASSEMBLY TO BE CHANGED IN EVERY SIX MONTH</t>
  </si>
  <si>
    <t>6 MONTHS</t>
  </si>
  <si>
    <t>LUBRICATION TO BE DONE IN EVERY SHUTDOWN</t>
  </si>
  <si>
    <t>15 DAYS</t>
  </si>
  <si>
    <t>Freq</t>
  </si>
  <si>
    <t>Equipment</t>
  </si>
  <si>
    <t>Subequipment</t>
  </si>
  <si>
    <t>02.01.2025</t>
  </si>
  <si>
    <t>ELECTRODE REGULATION</t>
  </si>
  <si>
    <t>One time</t>
  </si>
  <si>
    <t>Electrode regulation</t>
  </si>
  <si>
    <t>24V PowerSupply</t>
  </si>
  <si>
    <t>E1 BROKEN</t>
  </si>
  <si>
    <t>Electrode</t>
  </si>
  <si>
    <t>04.01.2025</t>
  </si>
  <si>
    <t>U/P SEQ. BREAK IN BILLET CASTER DUE TO CROSS TRANSFER CAR ISSUE</t>
  </si>
  <si>
    <t>Cooling Bed</t>
  </si>
  <si>
    <t>Robot</t>
  </si>
  <si>
    <t>LRF-3 DELTA CENTERING PROBLEM</t>
  </si>
  <si>
    <t>LRF3</t>
  </si>
  <si>
    <t>Refractory</t>
  </si>
  <si>
    <t>Delta Casting</t>
  </si>
  <si>
    <t>Cross Xfer Car</t>
  </si>
  <si>
    <t>05.01.2025</t>
  </si>
  <si>
    <t>LRF-III DELTA CENTRING ISSUE</t>
  </si>
  <si>
    <t>LRF-III</t>
  </si>
  <si>
    <t>Delta Cleaning</t>
  </si>
  <si>
    <t>SLEEV LOCK PROBLEM</t>
  </si>
  <si>
    <t>Sleeve Lock</t>
  </si>
  <si>
    <t>Gantry Lock</t>
  </si>
  <si>
    <t>06.01.2025</t>
  </si>
  <si>
    <t>RH VESSEL PREMATURE DOWN</t>
  </si>
  <si>
    <t>Vessel</t>
  </si>
  <si>
    <t>Snorkel</t>
  </si>
  <si>
    <t>EAF-II SLEEV LOCK PROBLEM</t>
  </si>
  <si>
    <t>07.01.2024</t>
  </si>
  <si>
    <t>BILLET CASTER STARTUP DELAY (PIPE LINE LEAKAGE)</t>
  </si>
  <si>
    <t>EMS Cooling</t>
  </si>
  <si>
    <t>EMS</t>
  </si>
  <si>
    <t>08.01.2025</t>
  </si>
  <si>
    <t>BILLET CASTER FIVE STRAND RUNNING (STRAND NO.-1 TICKLING CHOKE)</t>
  </si>
  <si>
    <t>Temperature</t>
  </si>
  <si>
    <t>09.01.2025</t>
  </si>
  <si>
    <t>E3 BROKEN AT F/C</t>
  </si>
  <si>
    <t>E3 BROKEN AT LRF-III</t>
  </si>
  <si>
    <t>13.01.2025</t>
  </si>
  <si>
    <t>PANEL NO.6 LEAKAGE WELDING</t>
  </si>
  <si>
    <t>Panel</t>
  </si>
  <si>
    <t>Panel 6</t>
  </si>
  <si>
    <t>14.01.2025</t>
  </si>
  <si>
    <t>SLAB CASTER STARTUP FAILURE (HEAD OFF)</t>
  </si>
  <si>
    <t>Stopper</t>
  </si>
  <si>
    <t>16.01.2025</t>
  </si>
  <si>
    <t>LOCO BREAKDOWN</t>
  </si>
  <si>
    <t>CMD</t>
  </si>
  <si>
    <t>Loco</t>
  </si>
  <si>
    <t>17.01.2025</t>
  </si>
  <si>
    <t>COMBI CASTER U/P SEQ. BREAK DUE TO MOULD WATER HEADER LEAKAGE</t>
  </si>
  <si>
    <t>Mould Cooling</t>
  </si>
  <si>
    <t>Header</t>
  </si>
  <si>
    <t>21.01.2025</t>
  </si>
  <si>
    <t>LAUNDER SHAFT BROKEN</t>
  </si>
  <si>
    <t>Launder Car</t>
  </si>
  <si>
    <t>Carden Shaft</t>
  </si>
  <si>
    <t>23.01.2025</t>
  </si>
  <si>
    <t>SLAB CASTER UNPLANNED SEQ. BREAK DUE TO PLC FAULT</t>
  </si>
  <si>
    <t>27.01.2025</t>
  </si>
  <si>
    <t>E3 BROKEN</t>
  </si>
  <si>
    <t>SLAG METAL LEAKAGE FROM KT-4</t>
  </si>
  <si>
    <t>KT-4</t>
  </si>
  <si>
    <t>SLAB CASTER BREAKDOWN (NARROW FACE STUCKUP)</t>
  </si>
  <si>
    <t>Segment 1</t>
  </si>
  <si>
    <t>Roller</t>
  </si>
  <si>
    <t>180 T CRANE AUXILIARY HOIST NOT WORKING</t>
  </si>
  <si>
    <t>Crane</t>
  </si>
  <si>
    <t>Crane (180T)</t>
  </si>
  <si>
    <t>Hoist</t>
  </si>
  <si>
    <t>EBT JAM CLEANING</t>
  </si>
  <si>
    <t xml:space="preserve">Cumulative </t>
  </si>
  <si>
    <t>Cumulative (%)</t>
  </si>
  <si>
    <t xml:space="preserve">CRANE </t>
  </si>
  <si>
    <t>Sr.No.</t>
  </si>
  <si>
    <t>Equipment failure due to SLAB</t>
  </si>
  <si>
    <t>Once</t>
  </si>
  <si>
    <t>Segment 1 roller jam</t>
  </si>
  <si>
    <t>Segment 1 and mould change</t>
  </si>
  <si>
    <t>Immediately</t>
  </si>
  <si>
    <t>Implemented</t>
  </si>
  <si>
    <t>Ensure proper lubrication of rollers and sufficient water for roller cooling</t>
  </si>
  <si>
    <t>PLC stop mode</t>
  </si>
  <si>
    <t>Normalised the system</t>
  </si>
  <si>
    <t>Ensure permit before working on PLC</t>
  </si>
  <si>
    <t>Repeated</t>
  </si>
  <si>
    <t>Head Off</t>
  </si>
  <si>
    <t>Stopper Change</t>
  </si>
  <si>
    <t>Ensure the lot size with the supplier with test certificatte</t>
  </si>
  <si>
    <t>Equipment failure due to EAF</t>
  </si>
  <si>
    <t>Spark in panel</t>
  </si>
  <si>
    <t xml:space="preserve">Welding </t>
  </si>
  <si>
    <t>implemented</t>
  </si>
  <si>
    <t>Ensure scrap will not touch the panels</t>
  </si>
  <si>
    <t>Coupling bolt broken</t>
  </si>
  <si>
    <t>Bolt change</t>
  </si>
  <si>
    <t>Slag door needs to be clean</t>
  </si>
  <si>
    <t>Skull Jam</t>
  </si>
  <si>
    <t>Lancing done</t>
  </si>
  <si>
    <t>Heavy skull particles should not be there</t>
  </si>
  <si>
    <t>Play in gantry</t>
  </si>
  <si>
    <t>gaps shouldn;'t be there in roof and gantry</t>
  </si>
  <si>
    <t>Refractory errosion</t>
  </si>
  <si>
    <t>Gunning done</t>
  </si>
  <si>
    <t>Frequently check the refractory condition</t>
  </si>
  <si>
    <t>Equipment failure due to Billet Caster</t>
  </si>
  <si>
    <t>Billet didn't come in 3rd notch</t>
  </si>
  <si>
    <t>Laser installed for Robot as it will not go for pasting if billets are not in 3rd notch</t>
  </si>
  <si>
    <t>Misalignment between fixed rack and moving rack to be correcrted</t>
  </si>
  <si>
    <t>Feb, 25</t>
  </si>
  <si>
    <t>Pipeling thichkness reduced due to rubbing</t>
  </si>
  <si>
    <t>Welding done</t>
  </si>
  <si>
    <t>Pipeline to be rerouted to avoid rubbing</t>
  </si>
  <si>
    <t>To be implemented</t>
  </si>
  <si>
    <t xml:space="preserve">Temperature </t>
  </si>
  <si>
    <t>Ensure back flame testing before startup</t>
  </si>
  <si>
    <t>Follow the heating time of SEN</t>
  </si>
  <si>
    <t>01.02.2025</t>
  </si>
  <si>
    <t>SLAB CASTER BREAK OUT</t>
  </si>
  <si>
    <t>Temp measurement</t>
  </si>
  <si>
    <t>Lance</t>
  </si>
  <si>
    <t>COMBI CASTER UNPLANNED SEQ. BREAK DUE TO STRAND-1 BREAK OUT</t>
  </si>
  <si>
    <t>Combi Caster</t>
  </si>
  <si>
    <t>Mould</t>
  </si>
  <si>
    <t>Mould life</t>
  </si>
  <si>
    <t>BILLET CASTER UNPLANNED SEQ. BREAK DUE TO PURGING FAIL IN VD</t>
  </si>
  <si>
    <t>VD</t>
  </si>
  <si>
    <t>Purging</t>
  </si>
  <si>
    <t>TAPPING LADLE DELAY DUE TO SLAG IN NOZZLE</t>
  </si>
  <si>
    <t>Ladle</t>
  </si>
  <si>
    <t>Nozzle</t>
  </si>
  <si>
    <t>SLAB CASTER START UP DELAY</t>
  </si>
  <si>
    <t>Slab caster</t>
  </si>
  <si>
    <t>Foot roll</t>
  </si>
  <si>
    <t>180 TONE CRANE B/D</t>
  </si>
  <si>
    <t>180T Crane</t>
  </si>
  <si>
    <t>Rope drum shaft</t>
  </si>
  <si>
    <t>SLAB CASTER START UP DELAY DUE TO MOULD CHANGE</t>
  </si>
  <si>
    <t>02.02.2025</t>
  </si>
  <si>
    <t>COMBI CASTER U/P SEQ. BREAK DUE TO HYDRAULIC LEAKAGE</t>
  </si>
  <si>
    <t>Ladle Turret</t>
  </si>
  <si>
    <t>Rotary</t>
  </si>
  <si>
    <t>04.02.2025</t>
  </si>
  <si>
    <t>AIR COMPRESSOR TRIPPED</t>
  </si>
  <si>
    <t>Utility</t>
  </si>
  <si>
    <t>Compressor</t>
  </si>
  <si>
    <t>Seal Pressure</t>
  </si>
  <si>
    <t>05.02.2025</t>
  </si>
  <si>
    <t>BILLET CASTER FOUR STRAND RUNNING (TWO STRAND CHOKE)</t>
  </si>
  <si>
    <t>Process</t>
  </si>
  <si>
    <t>E-3 BROKEN</t>
  </si>
  <si>
    <t>06.02.2025</t>
  </si>
  <si>
    <t>COMBI CASTER THREE STRAND CASTING</t>
  </si>
  <si>
    <t>07.02.2025</t>
  </si>
  <si>
    <t>COMBI CASTER STRAND #2 FAILURE DURING FLYING</t>
  </si>
  <si>
    <t>09.02.2025</t>
  </si>
  <si>
    <t>SLAB CASTER STARTUP DELAY DUE TO MOULD HOSE LEAKAGE</t>
  </si>
  <si>
    <t>Hose</t>
  </si>
  <si>
    <t>SLAB CASTER U/P SEQ. BREAK DUE TO LADLE LATE</t>
  </si>
  <si>
    <t>BILLET CASTER STARTUP DELAY (STRAND #4 ZEROING ISSUE)</t>
  </si>
  <si>
    <t>Billet Caster</t>
  </si>
  <si>
    <t>AMLC</t>
  </si>
  <si>
    <t>Stopper Control cable</t>
  </si>
  <si>
    <t>SLAB CASTER U/P SEQ. BREAK DUE TO CHEMISTRY ISSUE</t>
  </si>
  <si>
    <t>10.02.2025</t>
  </si>
  <si>
    <t>COMBI CASTER STARTUP DELAY DUE TO STRAND NO.-4 SEGMENT ISSUE</t>
  </si>
  <si>
    <t>Segment</t>
  </si>
  <si>
    <t>Fork of segment</t>
  </si>
  <si>
    <t>200 T MIDDLE CRANE AUXILIARY HOIST STUCK</t>
  </si>
  <si>
    <t>200T Crane</t>
  </si>
  <si>
    <t>Hook</t>
  </si>
  <si>
    <t>11.02.2025</t>
  </si>
  <si>
    <t>SLAG CAME OUT FROM KT-3 AREA</t>
  </si>
  <si>
    <t>KT3</t>
  </si>
  <si>
    <t>12.02.2025</t>
  </si>
  <si>
    <t>SLAB CASTER U/P SEQ. BREAK (SEN RUNNING, DUE TO LOW SUPER HEAT)</t>
  </si>
  <si>
    <t>BILLET CASTER STARTUP DELAY (SLIDE GATE ISSUE)</t>
  </si>
  <si>
    <t>Slide Gate</t>
  </si>
  <si>
    <t>Hydraulic Valve</t>
  </si>
  <si>
    <t>16.02.2025</t>
  </si>
  <si>
    <t>LADLE SHORTAGE (TEN LADLE IN CIRCULATION)</t>
  </si>
  <si>
    <t>17.02.2025</t>
  </si>
  <si>
    <t>BILLET CASTER FIVE STRAND RUNNING</t>
  </si>
  <si>
    <t>TILTING VALVE CHANGED</t>
  </si>
  <si>
    <t>Hydralic</t>
  </si>
  <si>
    <t>Propotional Valve</t>
  </si>
  <si>
    <t>18.02.2025</t>
  </si>
  <si>
    <t>LRF-3 E-1 COPPER PAD WATER LEAKAGE</t>
  </si>
  <si>
    <t>Copper pad</t>
  </si>
  <si>
    <t>O-ring</t>
  </si>
  <si>
    <t>BILLET CASTER CHOKED</t>
  </si>
  <si>
    <t>Oxidised bath</t>
  </si>
  <si>
    <t>Slab Caster</t>
  </si>
  <si>
    <t>Equipment failure due to LRF</t>
  </si>
  <si>
    <t>Less processing time &amp; Cold ladle</t>
  </si>
  <si>
    <t>Monitoring of tapping addition &amp; temperature of furnace. Avoid cold ladle &amp; low bottom temperature for slab heat</t>
  </si>
  <si>
    <t>Immediate effect</t>
  </si>
  <si>
    <t>Ensure Monitoring of ladle temperature before tapping</t>
  </si>
  <si>
    <t>Low tapping temperature &amp; less processing time</t>
  </si>
  <si>
    <t>Ensure tapping temp at EAF/NOF should not be less than 1615 deg C</t>
  </si>
  <si>
    <t>High superheat. Because unable to take temp before lifting the heat due to lance burn at last moment</t>
  </si>
  <si>
    <t>Ensure temp before lifting heat for caster.</t>
  </si>
  <si>
    <t>Ensure alternative lance at every LRF station. Do not lift heat without taking temperature</t>
  </si>
  <si>
    <t>Equipment failure due to Combi Caster</t>
  </si>
  <si>
    <t>Oscillator trip during transition period of flying</t>
  </si>
  <si>
    <t>Do not increase the cast speed beyond protocol during flying</t>
  </si>
  <si>
    <t>Restrict the speed setpoint selection during flying</t>
  </si>
  <si>
    <t>Sticker inside mould</t>
  </si>
  <si>
    <t>Mould change</t>
  </si>
  <si>
    <t>Ensure mould life &amp; cleaning of mould after 400-450 life</t>
  </si>
  <si>
    <t>Rotary support block welding broken</t>
  </si>
  <si>
    <t>Welding of support done</t>
  </si>
  <si>
    <t>Welding of support to be ensured during shutdown</t>
  </si>
  <si>
    <t>Control cable fault</t>
  </si>
  <si>
    <t>Checking of controlcable before startup</t>
  </si>
  <si>
    <t>Replacement of cable periodically</t>
  </si>
  <si>
    <t>Contamination in hyd oil</t>
  </si>
  <si>
    <t>Valve replaced</t>
  </si>
  <si>
    <t>Slide gate filters to be replaced every 3 months</t>
  </si>
  <si>
    <t>Trickling chocking</t>
  </si>
  <si>
    <t>Check backflame before cast start</t>
  </si>
  <si>
    <t>Ensure SEN &amp; Tundish preheating as per SOP &amp; Check backflame before cast start</t>
  </si>
  <si>
    <t>Equipment failure due to Crane</t>
  </si>
  <si>
    <t>Input shaft broken</t>
  </si>
  <si>
    <t>Shaft replaced</t>
  </si>
  <si>
    <t>Shaft design changed</t>
  </si>
  <si>
    <t>Rope cover loose</t>
  </si>
  <si>
    <t>Cover fixed</t>
  </si>
  <si>
    <t>Cover design to be changed</t>
  </si>
  <si>
    <t>31.03.2025</t>
  </si>
  <si>
    <t>Under progress</t>
  </si>
  <si>
    <t>WHY-WHY ANALYSIS</t>
  </si>
  <si>
    <t>ACTION PLAN</t>
  </si>
  <si>
    <t>NO.</t>
  </si>
  <si>
    <t>CAUSE</t>
  </si>
  <si>
    <t>SUB CASUSE</t>
  </si>
  <si>
    <t>WHY-1</t>
  </si>
  <si>
    <t>REASON</t>
  </si>
  <si>
    <t>S.No</t>
  </si>
  <si>
    <t>POTENTIAL CAUSE</t>
  </si>
  <si>
    <t>RESPONSIBILITY</t>
  </si>
  <si>
    <t>STATUS</t>
  </si>
  <si>
    <t>TARGET</t>
  </si>
  <si>
    <t>MAN</t>
  </si>
  <si>
    <t>Mast -Guide Roller gap - Mast gap &gt; 1MM</t>
  </si>
  <si>
    <t>Guide roller bolt not tighten as per torque chart</t>
  </si>
  <si>
    <t xml:space="preserve">torquing in less torque </t>
  </si>
  <si>
    <t xml:space="preserve">Torquing in less torque </t>
  </si>
  <si>
    <t>Training given and PM frequency on weekly basis</t>
  </si>
  <si>
    <t>Prashant jha</t>
  </si>
  <si>
    <t>MACHINE</t>
  </si>
  <si>
    <t>Gantry movement during fast tilt back</t>
  </si>
  <si>
    <t>Wear &amp; tear of housing and guide plate</t>
  </si>
  <si>
    <t>Ageing of plate</t>
  </si>
  <si>
    <t>Wear &amp; tear of Torsion and guide plate</t>
  </si>
  <si>
    <t>Complete Gantry super structure has been ordered</t>
  </si>
  <si>
    <t>Anurag saxena</t>
  </si>
  <si>
    <t>New gantry received on 2 feb 25</t>
  </si>
  <si>
    <t>Annual shutdown of FY'25</t>
  </si>
  <si>
    <t>Unavailability of check valve in the slew hyd cylinder</t>
  </si>
  <si>
    <t>As per initial design</t>
  </si>
  <si>
    <t>Planning to Replace the existing hyd cyl with modified one</t>
  </si>
  <si>
    <t>N D Pandey</t>
  </si>
  <si>
    <t>In discussion</t>
  </si>
  <si>
    <t>Electrode Arm &amp; Mast</t>
  </si>
  <si>
    <t>Guide Roller - Mast gap &gt; 1MM</t>
  </si>
  <si>
    <t xml:space="preserve">Ageing of guide roller </t>
  </si>
  <si>
    <t>Wear &amp; tear of guide Roller surface</t>
  </si>
  <si>
    <t>MILESTONE PLAN</t>
  </si>
  <si>
    <t>DEPARTMENT:- STEEL MELTING SHOP</t>
  </si>
  <si>
    <t>Project Title : Reduce electrode breakage frequency from 4 per month to zero per month.</t>
  </si>
  <si>
    <t>Team Leader - VINAY PATANKAR</t>
  </si>
  <si>
    <r>
      <rPr>
        <sz val="10"/>
        <color theme="1"/>
        <rFont val="Georgia"/>
        <family val="1"/>
      </rPr>
      <t xml:space="preserve">TEAM MEMBER
</t>
    </r>
    <r>
      <rPr>
        <sz val="10"/>
        <color theme="1"/>
        <rFont val="Arial"/>
        <family val="2"/>
      </rPr>
      <t>1.</t>
    </r>
    <r>
      <rPr>
        <sz val="10"/>
        <color theme="1"/>
        <rFont val="Georgia"/>
        <family val="1"/>
      </rPr>
      <t xml:space="preserve">Prashant Jha
2. Awadhesh chaudary
3. sanjay pandey
 </t>
    </r>
  </si>
  <si>
    <t>Date of Beginning   :15-01-2025</t>
  </si>
  <si>
    <t>Date of Completion</t>
  </si>
  <si>
    <t>SL. No.</t>
  </si>
  <si>
    <t>Steps</t>
  </si>
  <si>
    <t>Description</t>
  </si>
  <si>
    <t>WEEK</t>
  </si>
  <si>
    <t>Start</t>
  </si>
  <si>
    <t>Finish</t>
  </si>
  <si>
    <t>D</t>
  </si>
  <si>
    <t>Identification of problem</t>
  </si>
  <si>
    <t>Plan</t>
  </si>
  <si>
    <t>15/01/2025</t>
  </si>
  <si>
    <t>20/01/2025</t>
  </si>
  <si>
    <t>Actual</t>
  </si>
  <si>
    <t>Team formation &amp; problem defining</t>
  </si>
  <si>
    <t>M</t>
  </si>
  <si>
    <t>Ascertain the facts</t>
  </si>
  <si>
    <t>21/01/2025</t>
  </si>
  <si>
    <t>27/02/2025</t>
  </si>
  <si>
    <t>A</t>
  </si>
  <si>
    <t>Why Why analysis</t>
  </si>
  <si>
    <t>28/01/2025</t>
  </si>
  <si>
    <t>Identify gaps in the system</t>
  </si>
  <si>
    <t>I</t>
  </si>
  <si>
    <t>Developing Solution and recommendation</t>
  </si>
  <si>
    <t>17/02/2025</t>
  </si>
  <si>
    <t>Record &amp; Communicate</t>
  </si>
  <si>
    <t>C</t>
  </si>
  <si>
    <t>Implement &amp; Review</t>
  </si>
  <si>
    <t>24/07/2025</t>
  </si>
  <si>
    <t>31/07/2025</t>
  </si>
  <si>
    <t>Tangible / Intangible benefits</t>
  </si>
  <si>
    <t>Complete</t>
  </si>
  <si>
    <t>In Progress/ WIP</t>
  </si>
  <si>
    <t>S. No.</t>
  </si>
  <si>
    <t>Dept</t>
  </si>
  <si>
    <t xml:space="preserve">Project Definition </t>
  </si>
  <si>
    <t>Base Line Data ( in min)
Delay from 1st April 24 to 31st Dec24)</t>
  </si>
  <si>
    <t>Target (in min)</t>
  </si>
  <si>
    <t xml:space="preserve">How to Achieve it </t>
  </si>
  <si>
    <t>Monitoring Mechanism</t>
  </si>
  <si>
    <t>Target Date</t>
  </si>
  <si>
    <t>Team Leader</t>
  </si>
  <si>
    <t>Team members</t>
  </si>
  <si>
    <t>Present Status</t>
  </si>
  <si>
    <t xml:space="preserve">Remarks </t>
  </si>
  <si>
    <t>SMS#2</t>
  </si>
  <si>
    <t xml:space="preserve">Reduction of EOT Crane breakdowns </t>
  </si>
  <si>
    <t xml:space="preserve">1) DSL related breakdown of 180T crane to be made zero by modification in DSL assembly cage 
2) Slab Caster 90T crane - main hoist coupling to be changed from rigid to barrel type coupling </t>
  </si>
  <si>
    <t xml:space="preserve">1) Weekly Review by Area Incharge 
2) Monthly Review by HOD
3) Project status tracking by Gantt chart 
4) Regular monitoring by 411 review </t>
  </si>
  <si>
    <t>Jul'25</t>
  </si>
  <si>
    <t>Amitabh Rathore</t>
  </si>
  <si>
    <t>Manpreet Babra
Dhrub Jyoti
Vinay Patel
Vinay Barman                Ajay Pandey           Santosh Satpaty</t>
  </si>
  <si>
    <t>Team formation, Project define, Baseline and Measurement through Pareto Completed 
Next step : Project Charter,Analysis through Why why &amp;  Ishikawa Diagram</t>
  </si>
  <si>
    <t xml:space="preserve">Eliminate KT lance - Oxygen and KT lance Carbon system water leakage </t>
  </si>
  <si>
    <t>1) Design modification done for improve cooling  system of KT lance Jacket  
2) New design lance fixed in EAF in Dec 24 and it is under observation</t>
  </si>
  <si>
    <t>Under Observation</t>
  </si>
  <si>
    <t>Vinay Patankar</t>
  </si>
  <si>
    <t>Ashish majila
awadhesh chaudary
rohit mohanty</t>
  </si>
  <si>
    <t>Team formation, Project define and Baseline defined 
Next step : Project Charter and Ishikawa Diagram</t>
  </si>
  <si>
    <t>Reduce electrode breakage frequency from 4 per month to zero per month.</t>
  </si>
  <si>
    <t>1) Fixed new plate on guide plate for minimize gap 
2) New gantry procured  . To be replaced in next capital shutdown .</t>
  </si>
  <si>
    <t>Prashant Jha
awadhesh chaudary
sanjay pandey</t>
  </si>
  <si>
    <t xml:space="preserve">Eliminate EAF down time due to water cooled panel leakage </t>
  </si>
  <si>
    <t>Age based preventive maintenance philosophy to be used 
(Replace after 3200 Heat production)</t>
  </si>
  <si>
    <t>Implemented and Under Observation</t>
  </si>
  <si>
    <t>Prashant Jha
awadhesh chaudary
Aman</t>
  </si>
  <si>
    <t>Eliminate  startup delay of caster &amp; unplanned sequence break due to wire feeding.(target zero min)</t>
  </si>
  <si>
    <t>LRF1 - All two strand wire feeders machine will be upgrade to four strand wire feeders to generate redundancy  .</t>
  </si>
  <si>
    <t>D K Gupta</t>
  </si>
  <si>
    <t>Nishant gupta
Avinah Aarya
Sanjay Pandey</t>
  </si>
  <si>
    <t>Improving Reliability of Combi caster  withdrawal units</t>
  </si>
  <si>
    <t>1) Modification in water cooled jackets to improve cooling system
 2) Geared Motor life enhancement by improving maintenance practices</t>
  </si>
  <si>
    <t>Satyabrat Sahu</t>
  </si>
  <si>
    <t xml:space="preserve">Nitigya ranjan
Sunil Mehar
Md. Kalim Quareshi </t>
  </si>
  <si>
    <t xml:space="preserve">Team formation, Project define, Baseline and Measurement through Pareto Completed 
Analysis through Ishikawa Diagram done, action plan made. Implementation phase going on                                             </t>
  </si>
  <si>
    <t xml:space="preserve">Elimination / reduction of Breakouts in Slab Caster </t>
  </si>
  <si>
    <t xml:space="preserve">1) MMS software( Early warning system) to be fine tune with M/s SMS Group
2) Process control in secondary steel making - strict compliance to SOP </t>
  </si>
  <si>
    <t>Mar'25</t>
  </si>
  <si>
    <t>Vyankatesh Thodge</t>
  </si>
  <si>
    <t>Deepak Gupta
Mohan iyer
Pushpal Mukherjee</t>
  </si>
  <si>
    <t xml:space="preserve">Improving Mould &amp; Segment reliability for enhancing caster availability </t>
  </si>
  <si>
    <t>1) Improve alignment and maintenance practices at Mould and Segment shop by training and skill upgradation 
2) Installation of weld clad 900 rolls( High Ni and High Cr coated rolls ) to enhance life of mould and segment# 1 from 1200 to 3000 heats</t>
  </si>
  <si>
    <t>1. Jan'25 (under progress)
2. June'25</t>
  </si>
  <si>
    <t>Nitigya ranjan
Sunil Mehar
Pushpal Mukherjee</t>
  </si>
  <si>
    <t xml:space="preserve">Elimination of AMLC failure due to Scintillation Counters malfunctioning due to heating </t>
  </si>
  <si>
    <t>1) Scintillation Counters cooling water jacket water flow cross checking during every section change .
2) Cooling water feeding to be provided from auto backwash filter to improve cooling efficiency</t>
  </si>
  <si>
    <t>1. Implemented and Under Observation
2. Done</t>
  </si>
  <si>
    <t>Shiv Kumar Kewat
Hemant Pachori
Chandra Kishor Singh
Nitin Baghel
Nitin Sharma</t>
  </si>
  <si>
    <t>Team Formation, Project define, Measurement through Pareto, Analysis through Ishikawa diagram have been completed 
Next Step- Identification of Gaps and Improvement (Developing Solution &amp; recommendation)</t>
  </si>
  <si>
    <t>SMS#3</t>
  </si>
  <si>
    <t>Increase the availability of hot metal crane by upgrading with latest proven technology of Squirrel Cage Motor and Drive combination</t>
  </si>
  <si>
    <t>1) Motor to be operated through VVVF Drive system
2) Existing slip ring motors to be replaced with squirrel cage induction motor</t>
  </si>
  <si>
    <t>Rakesh Kumar Patel</t>
  </si>
  <si>
    <t>Harsh Pandey
Bhisham Kumar Sahu
Jawahal Lal Deshmukh
Nitish Pawar
Suhas S Bakre</t>
  </si>
  <si>
    <t xml:space="preserve">Team formation, Project define, Baseline and Measurement through Pareto, Analysis through Ishikawa Diagram Completed 
Next step : Identification of Gaps and Improvement </t>
  </si>
  <si>
    <t>Eliminate Roof Leakage Downtime &amp; Improve Equipment Availability </t>
  </si>
  <si>
    <t xml:space="preserve">1) Fixing of additional earthing in delta
2) Replacement of roof panels on yearly basis
3) Inspection of wall thickness of spoke assembly </t>
  </si>
  <si>
    <t>Harsh Pandey</t>
  </si>
  <si>
    <t>Sanjeev Pandey
Vivek Trivedi
Anupam Thakre
Nandkishore Tiwari
Sunil Soni
Jagannath Mahankuda</t>
  </si>
  <si>
    <t>Team formation, Project define, Baseline and Measurement through Pareto Completed 
Next step : Analysis through Ishikawa Diagram</t>
  </si>
  <si>
    <t xml:space="preserve">1) Modification in water cooled jackets 
2) Geared motor life enhancement by improving maintenance practices </t>
  </si>
  <si>
    <t>Suresh Dhiman</t>
  </si>
  <si>
    <t>Anwar Rza
Manoj Kumar
Sandeep Sharma
Ranjeet Jha
Ashish Gupta</t>
  </si>
  <si>
    <t>Enhance strand availability &amp; throughput by eliminate AMLC failure</t>
  </si>
  <si>
    <t>1) Scintillation Counters cooling water jacket water flow cross checking during every section change .
2) Online temp cooling monitoring system developed in HMI &amp; pannel for cooling efficiency.</t>
  </si>
  <si>
    <t>Nikhilesh Gawahde
Dilip Pathak
Prafful Tiwari
Tanmoy Sil
Ranjan Kr
Shubhash Chandra Shah</t>
  </si>
  <si>
    <t>Increase machine availability by controlling failure in Mould Oscillator.</t>
  </si>
  <si>
    <t>1) New procurement due to aging effect as per past record  
2) Offline trail and testing of  oscillator before putting in machine by Osci boy (O/S) unit</t>
  </si>
  <si>
    <t>1. Dec'25
2. Started</t>
  </si>
  <si>
    <t>Ranjeet Jha
Daman Sahu
Bhasker Baur
Suraj 
Abhimanyu Singh</t>
  </si>
  <si>
    <t>DURATION(min)</t>
  </si>
  <si>
    <t>28.01,2025</t>
  </si>
  <si>
    <t>30.01.2025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</si>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</sst>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"/>
  </numFmts>
  <fonts count="46" x14ac:knownFonts="1">
    <font>
      <sz val="11"/>
      <color theme="1"/>
      <name val="Calibri"/>
      <scheme val="minor"/>
    </font>
    <font>
      <b/>
      <sz val="10"/>
      <color theme="1"/>
      <name val="Bookman Old Style"/>
      <family val="1"/>
    </font>
    <font>
      <sz val="11"/>
      <name val="Calibri"/>
      <family val="2"/>
    </font>
    <font>
      <b/>
      <sz val="11"/>
      <color theme="1"/>
      <name val="Bookman Old Style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22222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b/>
      <sz val="14"/>
      <color theme="1"/>
      <name val="Arial"/>
      <family val="2"/>
    </font>
    <font>
      <b/>
      <sz val="14"/>
      <color rgb="FF222222"/>
      <name val="Arial"/>
      <family val="2"/>
    </font>
    <font>
      <sz val="14"/>
      <color theme="1"/>
      <name val="Arial"/>
      <family val="2"/>
    </font>
    <font>
      <sz val="14"/>
      <color rgb="FF222222"/>
      <name val="Arial"/>
      <family val="2"/>
    </font>
    <font>
      <b/>
      <sz val="11"/>
      <color theme="1"/>
      <name val="Calibri"/>
      <family val="2"/>
    </font>
    <font>
      <b/>
      <sz val="17"/>
      <color theme="1"/>
      <name val="Arial"/>
      <family val="2"/>
    </font>
    <font>
      <sz val="17"/>
      <color theme="1"/>
      <name val="Calibri"/>
      <family val="2"/>
    </font>
    <font>
      <b/>
      <u/>
      <sz val="10"/>
      <color rgb="FF0000FF"/>
      <name val="Arial"/>
      <family val="2"/>
    </font>
    <font>
      <sz val="10"/>
      <color rgb="FF0D0D0D"/>
      <name val="Arial"/>
      <family val="2"/>
    </font>
    <font>
      <sz val="10"/>
      <color rgb="FF171717"/>
      <name val="Arial"/>
      <family val="2"/>
    </font>
    <font>
      <b/>
      <sz val="17"/>
      <color theme="1"/>
      <name val="Georgia"/>
      <family val="1"/>
    </font>
    <font>
      <b/>
      <sz val="14"/>
      <color theme="1"/>
      <name val="Georgia"/>
      <family val="1"/>
    </font>
    <font>
      <b/>
      <sz val="12"/>
      <color theme="1"/>
      <name val="Georgia"/>
      <family val="1"/>
    </font>
    <font>
      <sz val="10"/>
      <color theme="1"/>
      <name val="Georgia"/>
      <family val="1"/>
    </font>
    <font>
      <b/>
      <sz val="11"/>
      <color theme="1"/>
      <name val="Georgia"/>
      <family val="1"/>
    </font>
    <font>
      <b/>
      <sz val="15"/>
      <color theme="1"/>
      <name val="Georgia"/>
      <family val="1"/>
    </font>
    <font>
      <b/>
      <sz val="10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1"/>
      <color rgb="FF00206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B050"/>
      <name val="Georgia"/>
      <family val="1"/>
    </font>
    <font>
      <sz val="12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ptos Narrow"/>
      <family val="2"/>
    </font>
    <font>
      <sz val="12"/>
      <color rgb="FF000000"/>
      <name val="Arial"/>
      <family val="2"/>
    </font>
    <font>
      <sz val="8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EECE1"/>
        <bgColor rgb="FFEEECE1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/>
    <xf numFmtId="0" fontId="7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2" fontId="6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wrapText="1"/>
    </xf>
    <xf numFmtId="10" fontId="6" fillId="0" borderId="4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0" fontId="6" fillId="0" borderId="0" xfId="0" applyFont="1"/>
    <xf numFmtId="0" fontId="9" fillId="3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" xfId="0" applyFont="1" applyBorder="1" applyAlignment="1">
      <alignment horizontal="center" wrapText="1"/>
    </xf>
    <xf numFmtId="16" fontId="10" fillId="0" borderId="4" xfId="0" applyNumberFormat="1" applyFont="1" applyBorder="1" applyAlignment="1">
      <alignment vertical="center" wrapText="1"/>
    </xf>
    <xf numFmtId="0" fontId="14" fillId="0" borderId="4" xfId="0" applyFont="1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/>
    <xf numFmtId="0" fontId="10" fillId="0" borderId="4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horizontal="center" wrapText="1"/>
    </xf>
    <xf numFmtId="0" fontId="16" fillId="0" borderId="14" xfId="0" applyFont="1" applyBorder="1" applyAlignment="1">
      <alignment wrapText="1"/>
    </xf>
    <xf numFmtId="0" fontId="17" fillId="0" borderId="14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10" fillId="0" borderId="17" xfId="0" applyFont="1" applyBorder="1" applyAlignment="1">
      <alignment horizontal="center" wrapText="1"/>
    </xf>
    <xf numFmtId="0" fontId="10" fillId="0" borderId="15" xfId="0" applyFont="1" applyBorder="1" applyAlignment="1">
      <alignment vertical="center" wrapText="1"/>
    </xf>
    <xf numFmtId="0" fontId="16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6" fillId="0" borderId="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2" fillId="2" borderId="1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vertical="top" wrapText="1"/>
    </xf>
    <xf numFmtId="0" fontId="26" fillId="8" borderId="4" xfId="0" applyFont="1" applyFill="1" applyBorder="1" applyAlignment="1">
      <alignment vertical="top" wrapText="1"/>
    </xf>
    <xf numFmtId="0" fontId="33" fillId="2" borderId="13" xfId="0" applyFont="1" applyFill="1" applyBorder="1" applyAlignment="1">
      <alignment wrapText="1"/>
    </xf>
    <xf numFmtId="0" fontId="33" fillId="2" borderId="14" xfId="0" applyFont="1" applyFill="1" applyBorder="1" applyAlignment="1">
      <alignment wrapText="1"/>
    </xf>
    <xf numFmtId="0" fontId="35" fillId="2" borderId="14" xfId="0" applyFont="1" applyFill="1" applyBorder="1" applyAlignment="1">
      <alignment horizontal="center" wrapText="1"/>
    </xf>
    <xf numFmtId="0" fontId="31" fillId="0" borderId="13" xfId="0" applyFont="1" applyBorder="1" applyAlignment="1">
      <alignment wrapText="1"/>
    </xf>
    <xf numFmtId="0" fontId="31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top" wrapText="1"/>
    </xf>
    <xf numFmtId="0" fontId="34" fillId="0" borderId="18" xfId="0" applyFont="1" applyBorder="1" applyAlignment="1">
      <alignment horizontal="center" wrapText="1"/>
    </xf>
    <xf numFmtId="0" fontId="36" fillId="0" borderId="4" xfId="0" applyFont="1" applyBorder="1" applyAlignment="1">
      <alignment horizontal="center"/>
    </xf>
    <xf numFmtId="0" fontId="31" fillId="0" borderId="37" xfId="0" applyFont="1" applyBorder="1" applyAlignment="1">
      <alignment wrapText="1"/>
    </xf>
    <xf numFmtId="0" fontId="31" fillId="0" borderId="14" xfId="0" applyFont="1" applyBorder="1" applyAlignment="1">
      <alignment wrapText="1"/>
    </xf>
    <xf numFmtId="0" fontId="31" fillId="8" borderId="14" xfId="0" applyFont="1" applyFill="1" applyBorder="1" applyAlignment="1">
      <alignment wrapText="1"/>
    </xf>
    <xf numFmtId="0" fontId="39" fillId="13" borderId="39" xfId="0" applyFont="1" applyFill="1" applyBorder="1" applyAlignment="1">
      <alignment wrapText="1"/>
    </xf>
    <xf numFmtId="0" fontId="31" fillId="0" borderId="40" xfId="0" applyFont="1" applyBorder="1" applyAlignment="1">
      <alignment wrapText="1"/>
    </xf>
    <xf numFmtId="0" fontId="40" fillId="0" borderId="14" xfId="0" applyFont="1" applyBorder="1" applyAlignment="1">
      <alignment horizontal="right" wrapText="1"/>
    </xf>
    <xf numFmtId="0" fontId="31" fillId="14" borderId="14" xfId="0" applyFont="1" applyFill="1" applyBorder="1" applyAlignment="1">
      <alignment wrapText="1"/>
    </xf>
    <xf numFmtId="0" fontId="39" fillId="13" borderId="14" xfId="0" applyFont="1" applyFill="1" applyBorder="1" applyAlignment="1">
      <alignment vertical="top" wrapText="1"/>
    </xf>
    <xf numFmtId="0" fontId="31" fillId="15" borderId="14" xfId="0" applyFont="1" applyFill="1" applyBorder="1" applyAlignment="1">
      <alignment vertical="top" wrapText="1"/>
    </xf>
    <xf numFmtId="0" fontId="31" fillId="14" borderId="14" xfId="0" applyFont="1" applyFill="1" applyBorder="1" applyAlignment="1">
      <alignment vertical="top" wrapText="1"/>
    </xf>
    <xf numFmtId="0" fontId="31" fillId="13" borderId="14" xfId="0" applyFont="1" applyFill="1" applyBorder="1" applyAlignment="1">
      <alignment vertical="top" wrapText="1"/>
    </xf>
    <xf numFmtId="0" fontId="31" fillId="16" borderId="14" xfId="0" applyFont="1" applyFill="1" applyBorder="1" applyAlignment="1">
      <alignment vertical="top" wrapText="1"/>
    </xf>
    <xf numFmtId="14" fontId="40" fillId="0" borderId="14" xfId="0" applyNumberFormat="1" applyFont="1" applyBorder="1" applyAlignment="1">
      <alignment horizontal="right" wrapText="1"/>
    </xf>
    <xf numFmtId="0" fontId="31" fillId="8" borderId="14" xfId="0" applyFont="1" applyFill="1" applyBorder="1" applyAlignment="1">
      <alignment vertical="top" wrapText="1"/>
    </xf>
    <xf numFmtId="0" fontId="31" fillId="0" borderId="14" xfId="0" applyFont="1" applyBorder="1" applyAlignment="1">
      <alignment horizontal="right" wrapText="1"/>
    </xf>
    <xf numFmtId="0" fontId="37" fillId="0" borderId="14" xfId="0" applyFont="1" applyBorder="1" applyAlignment="1">
      <alignment vertical="top" wrapText="1"/>
    </xf>
    <xf numFmtId="0" fontId="42" fillId="0" borderId="14" xfId="0" applyFont="1" applyBorder="1" applyAlignment="1">
      <alignment vertical="top" wrapText="1"/>
    </xf>
    <xf numFmtId="0" fontId="43" fillId="0" borderId="0" xfId="0" applyFont="1"/>
    <xf numFmtId="0" fontId="43" fillId="13" borderId="19" xfId="0" applyFont="1" applyFill="1" applyBorder="1"/>
    <xf numFmtId="0" fontId="43" fillId="17" borderId="19" xfId="0" applyFont="1" applyFill="1" applyBorder="1"/>
    <xf numFmtId="0" fontId="43" fillId="2" borderId="19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vertical="top" wrapText="1"/>
    </xf>
    <xf numFmtId="0" fontId="40" fillId="0" borderId="4" xfId="0" applyFont="1" applyBorder="1" applyAlignment="1">
      <alignment horizontal="left" vertical="top" wrapText="1"/>
    </xf>
    <xf numFmtId="0" fontId="40" fillId="0" borderId="0" xfId="0" applyFont="1" applyAlignment="1">
      <alignment wrapText="1"/>
    </xf>
    <xf numFmtId="0" fontId="44" fillId="0" borderId="4" xfId="0" applyFont="1" applyBorder="1" applyAlignment="1">
      <alignment horizontal="left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vertical="center" wrapText="1"/>
    </xf>
    <xf numFmtId="0" fontId="44" fillId="15" borderId="4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top" wrapText="1"/>
    </xf>
    <xf numFmtId="0" fontId="40" fillId="0" borderId="0" xfId="0" applyFont="1" applyAlignment="1">
      <alignment vertical="top" wrapText="1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13" fillId="5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vertical="center" wrapText="1"/>
    </xf>
    <xf numFmtId="0" fontId="2" fillId="0" borderId="7" xfId="0" applyFont="1" applyBorder="1"/>
    <xf numFmtId="0" fontId="19" fillId="5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wrapText="1"/>
    </xf>
    <xf numFmtId="0" fontId="18" fillId="5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wrapText="1"/>
    </xf>
    <xf numFmtId="0" fontId="20" fillId="5" borderId="5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0" fillId="0" borderId="27" xfId="0" applyFont="1" applyBorder="1" applyAlignment="1">
      <alignment horizontal="center" vertical="center" wrapText="1"/>
    </xf>
    <xf numFmtId="0" fontId="2" fillId="0" borderId="27" xfId="0" applyFont="1" applyBorder="1"/>
    <xf numFmtId="0" fontId="10" fillId="0" borderId="5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vertical="center" wrapText="1"/>
    </xf>
    <xf numFmtId="0" fontId="28" fillId="9" borderId="28" xfId="0" applyFont="1" applyFill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/>
    <xf numFmtId="0" fontId="29" fillId="10" borderId="28" xfId="0" applyFont="1" applyFill="1" applyBorder="1" applyAlignment="1">
      <alignment horizontal="center" wrapText="1"/>
    </xf>
    <xf numFmtId="0" fontId="30" fillId="11" borderId="28" xfId="0" applyFont="1" applyFill="1" applyBorder="1" applyAlignment="1">
      <alignment wrapText="1"/>
    </xf>
    <xf numFmtId="0" fontId="29" fillId="0" borderId="28" xfId="0" applyFont="1" applyBorder="1" applyAlignment="1">
      <alignment vertical="top" wrapText="1"/>
    </xf>
    <xf numFmtId="0" fontId="31" fillId="0" borderId="31" xfId="0" applyFont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14" fontId="32" fillId="0" borderId="28" xfId="0" applyNumberFormat="1" applyFont="1" applyBorder="1" applyAlignment="1">
      <alignment wrapText="1"/>
    </xf>
    <xf numFmtId="0" fontId="31" fillId="0" borderId="28" xfId="0" applyFont="1" applyBorder="1" applyAlignment="1">
      <alignment wrapText="1"/>
    </xf>
    <xf numFmtId="0" fontId="32" fillId="9" borderId="28" xfId="0" applyFont="1" applyFill="1" applyBorder="1" applyAlignment="1">
      <alignment wrapText="1"/>
    </xf>
    <xf numFmtId="0" fontId="32" fillId="12" borderId="28" xfId="0" applyFont="1" applyFill="1" applyBorder="1" applyAlignment="1">
      <alignment wrapText="1"/>
    </xf>
    <xf numFmtId="0" fontId="37" fillId="0" borderId="38" xfId="0" applyFont="1" applyBorder="1" applyAlignment="1">
      <alignment vertical="center" wrapText="1"/>
    </xf>
    <xf numFmtId="0" fontId="2" fillId="0" borderId="41" xfId="0" applyFont="1" applyBorder="1"/>
    <xf numFmtId="0" fontId="37" fillId="0" borderId="38" xfId="0" applyFont="1" applyBorder="1" applyAlignment="1">
      <alignment horizontal="center" vertical="center" wrapText="1"/>
    </xf>
    <xf numFmtId="0" fontId="32" fillId="0" borderId="28" xfId="0" applyFont="1" applyBorder="1" applyAlignment="1">
      <alignment wrapText="1"/>
    </xf>
    <xf numFmtId="0" fontId="34" fillId="2" borderId="28" xfId="0" applyFont="1" applyFill="1" applyBorder="1" applyAlignment="1">
      <alignment horizontal="center" wrapText="1"/>
    </xf>
    <xf numFmtId="0" fontId="41" fillId="0" borderId="38" xfId="0" applyFont="1" applyBorder="1" applyAlignment="1">
      <alignment horizontal="center" vertical="center" wrapText="1"/>
    </xf>
    <xf numFmtId="0" fontId="2" fillId="0" borderId="42" xfId="0" applyFont="1" applyBorder="1"/>
    <xf numFmtId="0" fontId="38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Dec, Jan and Feb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Summary!$C$4:$C$15</c:f>
              <c:numCache>
                <c:formatCode>General</c:formatCode>
                <c:ptCount val="12"/>
                <c:pt idx="0">
                  <c:v>1250</c:v>
                </c:pt>
                <c:pt idx="1">
                  <c:v>740</c:v>
                </c:pt>
                <c:pt idx="2">
                  <c:v>496</c:v>
                </c:pt>
                <c:pt idx="3">
                  <c:v>5795</c:v>
                </c:pt>
                <c:pt idx="4">
                  <c:v>20</c:v>
                </c:pt>
                <c:pt idx="5">
                  <c:v>170</c:v>
                </c:pt>
                <c:pt idx="6">
                  <c:v>540</c:v>
                </c:pt>
                <c:pt idx="7">
                  <c:v>0</c:v>
                </c:pt>
                <c:pt idx="8">
                  <c:v>395</c:v>
                </c:pt>
                <c:pt idx="9">
                  <c:v>570</c:v>
                </c:pt>
                <c:pt idx="10">
                  <c:v>3385</c:v>
                </c:pt>
                <c:pt idx="11">
                  <c:v>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BA-4BCA-B0A9-9230006FEB12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Summary!$D$4:$D$15</c:f>
              <c:numCache>
                <c:formatCode>General</c:formatCode>
                <c:ptCount val="12"/>
                <c:pt idx="0">
                  <c:v>100</c:v>
                </c:pt>
                <c:pt idx="1">
                  <c:v>610</c:v>
                </c:pt>
                <c:pt idx="2">
                  <c:v>155</c:v>
                </c:pt>
                <c:pt idx="3">
                  <c:v>9485</c:v>
                </c:pt>
                <c:pt idx="4">
                  <c:v>0</c:v>
                </c:pt>
                <c:pt idx="5">
                  <c:v>80</c:v>
                </c:pt>
                <c:pt idx="6">
                  <c:v>465</c:v>
                </c:pt>
                <c:pt idx="7">
                  <c:v>0</c:v>
                </c:pt>
                <c:pt idx="8">
                  <c:v>235</c:v>
                </c:pt>
                <c:pt idx="9">
                  <c:v>265</c:v>
                </c:pt>
                <c:pt idx="10">
                  <c:v>0</c:v>
                </c:pt>
                <c:pt idx="11">
                  <c:v>2115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BA-4BCA-B0A9-9230006FEB12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Summary!$E$4:$E$15</c:f>
              <c:numCache>
                <c:formatCode>General</c:formatCode>
                <c:ptCount val="12"/>
                <c:pt idx="0">
                  <c:v>1145</c:v>
                </c:pt>
                <c:pt idx="1">
                  <c:v>530</c:v>
                </c:pt>
                <c:pt idx="2">
                  <c:v>80</c:v>
                </c:pt>
                <c:pt idx="3">
                  <c:v>1940</c:v>
                </c:pt>
                <c:pt idx="4">
                  <c:v>0</c:v>
                </c:pt>
                <c:pt idx="5">
                  <c:v>160</c:v>
                </c:pt>
                <c:pt idx="6">
                  <c:v>95</c:v>
                </c:pt>
                <c:pt idx="7">
                  <c:v>0</c:v>
                </c:pt>
                <c:pt idx="8">
                  <c:v>410</c:v>
                </c:pt>
                <c:pt idx="9">
                  <c:v>140</c:v>
                </c:pt>
                <c:pt idx="10">
                  <c:v>240</c:v>
                </c:pt>
                <c:pt idx="11">
                  <c:v>1505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BA-4BCA-B0A9-9230006F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3255381"/>
        <c:axId val="1932017725"/>
      </c:barChart>
      <c:catAx>
        <c:axId val="150325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2017725"/>
        <c:crosses val="autoZero"/>
        <c:auto val="1"/>
        <c:lblAlgn val="ctr"/>
        <c:lblOffset val="100"/>
        <c:noMultiLvlLbl val="1"/>
      </c:catAx>
      <c:valAx>
        <c:axId val="193201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2553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MTD, MTD and MTD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Summary!$C$24:$C$34</c:f>
              <c:numCache>
                <c:formatCode>General</c:formatCode>
                <c:ptCount val="11"/>
                <c:pt idx="0">
                  <c:v>143</c:v>
                </c:pt>
                <c:pt idx="1">
                  <c:v>0</c:v>
                </c:pt>
                <c:pt idx="2">
                  <c:v>320</c:v>
                </c:pt>
                <c:pt idx="3">
                  <c:v>140</c:v>
                </c:pt>
                <c:pt idx="4">
                  <c:v>1012</c:v>
                </c:pt>
                <c:pt idx="5">
                  <c:v>422</c:v>
                </c:pt>
                <c:pt idx="6">
                  <c:v>251</c:v>
                </c:pt>
                <c:pt idx="7">
                  <c:v>0</c:v>
                </c:pt>
                <c:pt idx="8">
                  <c:v>1733</c:v>
                </c:pt>
                <c:pt idx="9">
                  <c:v>130</c:v>
                </c:pt>
                <c:pt idx="10">
                  <c:v>1120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38-462F-BD65-1BC73BD62FBE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Summary!$D$24:$D$34</c:f>
              <c:numCache>
                <c:formatCode>General</c:formatCode>
                <c:ptCount val="11"/>
                <c:pt idx="0">
                  <c:v>220</c:v>
                </c:pt>
                <c:pt idx="1">
                  <c:v>15</c:v>
                </c:pt>
                <c:pt idx="2">
                  <c:v>155</c:v>
                </c:pt>
                <c:pt idx="3">
                  <c:v>80</c:v>
                </c:pt>
                <c:pt idx="4">
                  <c:v>2404</c:v>
                </c:pt>
                <c:pt idx="5">
                  <c:v>490</c:v>
                </c:pt>
                <c:pt idx="6">
                  <c:v>120</c:v>
                </c:pt>
                <c:pt idx="7">
                  <c:v>60</c:v>
                </c:pt>
                <c:pt idx="8">
                  <c:v>1164</c:v>
                </c:pt>
                <c:pt idx="9">
                  <c:v>620</c:v>
                </c:pt>
                <c:pt idx="10">
                  <c:v>1725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38-462F-BD65-1BC73BD62FBE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Summary!$E$24:$E$34</c:f>
              <c:numCache>
                <c:formatCode>General</c:formatCode>
                <c:ptCount val="11"/>
                <c:pt idx="0">
                  <c:v>80</c:v>
                </c:pt>
                <c:pt idx="1">
                  <c:v>75</c:v>
                </c:pt>
                <c:pt idx="2">
                  <c:v>195</c:v>
                </c:pt>
                <c:pt idx="3">
                  <c:v>30</c:v>
                </c:pt>
                <c:pt idx="4">
                  <c:v>470</c:v>
                </c:pt>
                <c:pt idx="5">
                  <c:v>50</c:v>
                </c:pt>
                <c:pt idx="6">
                  <c:v>112</c:v>
                </c:pt>
                <c:pt idx="7">
                  <c:v>205</c:v>
                </c:pt>
                <c:pt idx="8">
                  <c:v>405</c:v>
                </c:pt>
                <c:pt idx="9">
                  <c:v>0</c:v>
                </c:pt>
                <c:pt idx="10">
                  <c:v>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38-462F-BD65-1BC73BD6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8126"/>
        <c:axId val="2051221671"/>
      </c:barChart>
      <c:catAx>
        <c:axId val="147318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221671"/>
        <c:crosses val="autoZero"/>
        <c:auto val="1"/>
        <c:lblAlgn val="ctr"/>
        <c:lblOffset val="100"/>
        <c:noMultiLvlLbl val="1"/>
      </c:catAx>
      <c:valAx>
        <c:axId val="2051221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181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EAF DELAY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9C8-4D7E-8C06-2DF58F3D15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24'!$E$28:$E$34</c:f>
              <c:numCache>
                <c:formatCode>General</c:formatCode>
                <c:ptCount val="7"/>
                <c:pt idx="0">
                  <c:v>230</c:v>
                </c:pt>
                <c:pt idx="1">
                  <c:v>210</c:v>
                </c:pt>
                <c:pt idx="2">
                  <c:v>190</c:v>
                </c:pt>
                <c:pt idx="3">
                  <c:v>80</c:v>
                </c:pt>
                <c:pt idx="4">
                  <c:v>40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719586"/>
        <c:axId val="1629166447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24'!$G$28:$G$34</c:f>
              <c:numCache>
                <c:formatCode>0%</c:formatCode>
                <c:ptCount val="7"/>
                <c:pt idx="0">
                  <c:v>0.29487179487179488</c:v>
                </c:pt>
                <c:pt idx="1">
                  <c:v>0.5641025641025641</c:v>
                </c:pt>
                <c:pt idx="2">
                  <c:v>0.80769230769230771</c:v>
                </c:pt>
                <c:pt idx="3">
                  <c:v>0.91025641025641024</c:v>
                </c:pt>
                <c:pt idx="4">
                  <c:v>0.96153846153846156</c:v>
                </c:pt>
                <c:pt idx="5">
                  <c:v>0.98076923076923073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951580"/>
        <c:axId val="1289131893"/>
      </c:lineChart>
      <c:catAx>
        <c:axId val="32271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166447"/>
        <c:crosses val="autoZero"/>
        <c:auto val="1"/>
        <c:lblAlgn val="ctr"/>
        <c:lblOffset val="100"/>
        <c:noMultiLvlLbl val="1"/>
      </c:catAx>
      <c:valAx>
        <c:axId val="1629166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719586"/>
        <c:crosses val="autoZero"/>
        <c:crossBetween val="between"/>
      </c:valAx>
      <c:catAx>
        <c:axId val="16709515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9131893"/>
        <c:crosses val="autoZero"/>
        <c:auto val="1"/>
        <c:lblAlgn val="ctr"/>
        <c:lblOffset val="100"/>
        <c:noMultiLvlLbl val="1"/>
      </c:catAx>
      <c:valAx>
        <c:axId val="12891318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09515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96943231441048"/>
          <c:y val="0.829147763102041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LRF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5358705161854769E-2"/>
          <c:y val="0.22650381679389317"/>
          <c:w val="0.82362970253718282"/>
          <c:h val="0.4250477850574021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24'!$E$49:$E$53</c:f>
              <c:numCache>
                <c:formatCode>General</c:formatCode>
                <c:ptCount val="5"/>
                <c:pt idx="0">
                  <c:v>310</c:v>
                </c:pt>
                <c:pt idx="1">
                  <c:v>161</c:v>
                </c:pt>
                <c:pt idx="2">
                  <c:v>130</c:v>
                </c:pt>
                <c:pt idx="3">
                  <c:v>120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547687"/>
        <c:axId val="1217774454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24'!$G$49:$G$53</c:f>
              <c:numCache>
                <c:formatCode>0%</c:formatCode>
                <c:ptCount val="5"/>
                <c:pt idx="0">
                  <c:v>0.41278295605858856</c:v>
                </c:pt>
                <c:pt idx="1">
                  <c:v>0.6271637816245007</c:v>
                </c:pt>
                <c:pt idx="2">
                  <c:v>0.80026631158455397</c:v>
                </c:pt>
                <c:pt idx="3">
                  <c:v>0.96005326231691079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860102"/>
        <c:axId val="977256470"/>
      </c:lineChart>
      <c:catAx>
        <c:axId val="122354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774454"/>
        <c:crosses val="autoZero"/>
        <c:auto val="1"/>
        <c:lblAlgn val="ctr"/>
        <c:lblOffset val="100"/>
        <c:noMultiLvlLbl val="1"/>
      </c:catAx>
      <c:valAx>
        <c:axId val="1217774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3547687"/>
        <c:crosses val="autoZero"/>
        <c:crossBetween val="between"/>
      </c:valAx>
      <c:catAx>
        <c:axId val="17618601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7256470"/>
        <c:crosses val="autoZero"/>
        <c:auto val="1"/>
        <c:lblAlgn val="ctr"/>
        <c:lblOffset val="100"/>
        <c:noMultiLvlLbl val="1"/>
      </c:catAx>
      <c:valAx>
        <c:axId val="9772564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186010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385154951999873"/>
          <c:y val="0.8636382804471778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COMBI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563611187089751E-2"/>
          <c:y val="0.17629815745393632"/>
          <c:w val="0.82101844570568927"/>
          <c:h val="0.7056113902847571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24'!$E$67:$E$72</c:f>
              <c:numCache>
                <c:formatCode>General</c:formatCode>
                <c:ptCount val="6"/>
                <c:pt idx="0">
                  <c:v>200</c:v>
                </c:pt>
                <c:pt idx="1">
                  <c:v>190</c:v>
                </c:pt>
                <c:pt idx="2">
                  <c:v>145</c:v>
                </c:pt>
                <c:pt idx="3">
                  <c:v>30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958165"/>
        <c:axId val="2129545355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24'!$G$67:$G$72</c:f>
              <c:numCache>
                <c:formatCode>0%</c:formatCode>
                <c:ptCount val="6"/>
                <c:pt idx="0">
                  <c:v>0.33057851239669422</c:v>
                </c:pt>
                <c:pt idx="1">
                  <c:v>0.64462809917355368</c:v>
                </c:pt>
                <c:pt idx="2">
                  <c:v>0.88429752066115708</c:v>
                </c:pt>
                <c:pt idx="3">
                  <c:v>0.93388429752066116</c:v>
                </c:pt>
                <c:pt idx="4">
                  <c:v>0.96694214876033058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061046"/>
        <c:axId val="1500051262"/>
      </c:lineChart>
      <c:catAx>
        <c:axId val="128495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9545355"/>
        <c:crosses val="autoZero"/>
        <c:auto val="1"/>
        <c:lblAlgn val="ctr"/>
        <c:lblOffset val="100"/>
        <c:noMultiLvlLbl val="1"/>
      </c:catAx>
      <c:valAx>
        <c:axId val="2129545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958165"/>
        <c:crosses val="autoZero"/>
        <c:crossBetween val="between"/>
      </c:valAx>
      <c:catAx>
        <c:axId val="17150610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0051262"/>
        <c:crosses val="autoZero"/>
        <c:auto val="1"/>
        <c:lblAlgn val="ctr"/>
        <c:lblOffset val="100"/>
        <c:noMultiLvlLbl val="1"/>
      </c:catAx>
      <c:valAx>
        <c:axId val="15000512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06104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603973566540412"/>
          <c:y val="0.8316851786944488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DURATION (MIN) and CUMULATIVE%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graph-Dec 24'!$E$2</c:f>
              <c:strCache>
                <c:ptCount val="1"/>
                <c:pt idx="0">
                  <c:v>DURATION (MIN)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24'!$E$3:$E$11</c:f>
              <c:numCache>
                <c:formatCode>General</c:formatCode>
                <c:ptCount val="9"/>
                <c:pt idx="0">
                  <c:v>920</c:v>
                </c:pt>
                <c:pt idx="1">
                  <c:v>871</c:v>
                </c:pt>
                <c:pt idx="2">
                  <c:v>605</c:v>
                </c:pt>
                <c:pt idx="3">
                  <c:v>270</c:v>
                </c:pt>
                <c:pt idx="4">
                  <c:v>180</c:v>
                </c:pt>
                <c:pt idx="5">
                  <c:v>180</c:v>
                </c:pt>
                <c:pt idx="6">
                  <c:v>120</c:v>
                </c:pt>
                <c:pt idx="7">
                  <c:v>80</c:v>
                </c:pt>
                <c:pt idx="8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27016"/>
        <c:axId val="1001646098"/>
      </c:barChart>
      <c:lineChart>
        <c:grouping val="standard"/>
        <c:varyColors val="0"/>
        <c:ser>
          <c:idx val="1"/>
          <c:order val="1"/>
          <c:tx>
            <c:strRef>
              <c:f>'Pareto graph-Dec 24'!$G$2</c:f>
              <c:strCache>
                <c:ptCount val="1"/>
                <c:pt idx="0">
                  <c:v>CUMULATIVE%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24'!$G$3:$G$11</c:f>
              <c:numCache>
                <c:formatCode>0%</c:formatCode>
                <c:ptCount val="9"/>
                <c:pt idx="0">
                  <c:v>0.28342575477510784</c:v>
                </c:pt>
                <c:pt idx="1">
                  <c:v>0.55175600739371533</c:v>
                </c:pt>
                <c:pt idx="2">
                  <c:v>0.73813924830560695</c:v>
                </c:pt>
                <c:pt idx="3">
                  <c:v>0.82131854590264941</c:v>
                </c:pt>
                <c:pt idx="4">
                  <c:v>0.87677141096734446</c:v>
                </c:pt>
                <c:pt idx="5">
                  <c:v>0.93222427603203939</c:v>
                </c:pt>
                <c:pt idx="6">
                  <c:v>0.96919285274183609</c:v>
                </c:pt>
                <c:pt idx="7">
                  <c:v>0.99383857054836722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58356"/>
        <c:axId val="1685142148"/>
      </c:lineChart>
      <c:catAx>
        <c:axId val="795427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1646098"/>
        <c:crosses val="autoZero"/>
        <c:auto val="1"/>
        <c:lblAlgn val="ctr"/>
        <c:lblOffset val="100"/>
        <c:noMultiLvlLbl val="1"/>
      </c:catAx>
      <c:valAx>
        <c:axId val="1001646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427016"/>
        <c:crosses val="autoZero"/>
        <c:crossBetween val="between"/>
      </c:valAx>
      <c:catAx>
        <c:axId val="6143583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5142148"/>
        <c:crosses val="autoZero"/>
        <c:auto val="1"/>
        <c:lblAlgn val="ctr"/>
        <c:lblOffset val="100"/>
        <c:noMultiLvlLbl val="1"/>
      </c:catAx>
      <c:valAx>
        <c:axId val="16851421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43583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'!$C$17:$C$20</c:f>
              <c:numCache>
                <c:formatCode>General</c:formatCode>
                <c:ptCount val="4"/>
                <c:pt idx="0">
                  <c:v>190</c:v>
                </c:pt>
                <c:pt idx="1">
                  <c:v>120</c:v>
                </c:pt>
                <c:pt idx="2">
                  <c:v>60</c:v>
                </c:pt>
                <c:pt idx="3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054442"/>
        <c:axId val="18343599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'!$E$17:$E$20</c:f>
              <c:numCache>
                <c:formatCode>0%</c:formatCode>
                <c:ptCount val="4"/>
                <c:pt idx="0">
                  <c:v>0.42105263157894735</c:v>
                </c:pt>
                <c:pt idx="1">
                  <c:v>0.73684210526315785</c:v>
                </c:pt>
                <c:pt idx="2">
                  <c:v>0.89473684210526316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719340"/>
        <c:axId val="564931452"/>
      </c:lineChart>
      <c:catAx>
        <c:axId val="2128054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35993"/>
        <c:crosses val="autoZero"/>
        <c:auto val="1"/>
        <c:lblAlgn val="ctr"/>
        <c:lblOffset val="100"/>
        <c:noMultiLvlLbl val="1"/>
      </c:catAx>
      <c:valAx>
        <c:axId val="183435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8054442"/>
        <c:crosses val="autoZero"/>
        <c:crossBetween val="between"/>
      </c:valAx>
      <c:catAx>
        <c:axId val="9587193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4931452"/>
        <c:crosses val="autoZero"/>
        <c:auto val="1"/>
        <c:lblAlgn val="ctr"/>
        <c:lblOffset val="100"/>
        <c:noMultiLvlLbl val="1"/>
      </c:catAx>
      <c:valAx>
        <c:axId val="5649314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719340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5087265815910939E-2"/>
          <c:y val="0.18233515561523597"/>
          <c:w val="0.83742535976106436"/>
          <c:h val="0.483161859741711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'!$C$38:$C$43</c:f>
              <c:numCache>
                <c:formatCode>General</c:formatCode>
                <c:ptCount val="6"/>
                <c:pt idx="0">
                  <c:v>60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0618357"/>
        <c:axId val="178986452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'!$E$38:$E$43</c:f>
              <c:numCache>
                <c:formatCode>0%</c:formatCode>
                <c:ptCount val="6"/>
                <c:pt idx="0">
                  <c:v>0.32432432432432434</c:v>
                </c:pt>
                <c:pt idx="1">
                  <c:v>0.48648648648648651</c:v>
                </c:pt>
                <c:pt idx="2">
                  <c:v>0.64864864864864868</c:v>
                </c:pt>
                <c:pt idx="3">
                  <c:v>0.78378378378378377</c:v>
                </c:pt>
                <c:pt idx="4">
                  <c:v>0.89189189189189189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274662"/>
        <c:axId val="452230548"/>
      </c:lineChart>
      <c:catAx>
        <c:axId val="2110618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986452"/>
        <c:crosses val="autoZero"/>
        <c:auto val="1"/>
        <c:lblAlgn val="ctr"/>
        <c:lblOffset val="100"/>
        <c:noMultiLvlLbl val="1"/>
      </c:catAx>
      <c:valAx>
        <c:axId val="17898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618357"/>
        <c:crosses val="autoZero"/>
        <c:crossBetween val="between"/>
      </c:valAx>
      <c:catAx>
        <c:axId val="10932746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230548"/>
        <c:crosses val="autoZero"/>
        <c:auto val="1"/>
        <c:lblAlgn val="ctr"/>
        <c:lblOffset val="100"/>
        <c:noMultiLvlLbl val="1"/>
      </c:catAx>
      <c:valAx>
        <c:axId val="4522305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27466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'!$C$61:$C$64</c:f>
              <c:numCache>
                <c:formatCode>General</c:formatCode>
                <c:ptCount val="4"/>
                <c:pt idx="0">
                  <c:v>60</c:v>
                </c:pt>
                <c:pt idx="1">
                  <c:v>35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84225"/>
        <c:axId val="75171293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'!$E$61:$E$64</c:f>
              <c:numCache>
                <c:formatCode>0%</c:formatCode>
                <c:ptCount val="4"/>
                <c:pt idx="0">
                  <c:v>0.46153846153846156</c:v>
                </c:pt>
                <c:pt idx="1">
                  <c:v>0.73076923076923073</c:v>
                </c:pt>
                <c:pt idx="2">
                  <c:v>0.88461538461538458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76779"/>
        <c:axId val="1712478223"/>
      </c:lineChart>
      <c:catAx>
        <c:axId val="1370384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1712933"/>
        <c:crosses val="autoZero"/>
        <c:auto val="1"/>
        <c:lblAlgn val="ctr"/>
        <c:lblOffset val="100"/>
        <c:noMultiLvlLbl val="1"/>
      </c:catAx>
      <c:valAx>
        <c:axId val="751712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384225"/>
        <c:crosses val="autoZero"/>
        <c:crossBetween val="between"/>
      </c:valAx>
      <c:catAx>
        <c:axId val="16578767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2478223"/>
        <c:crosses val="autoZero"/>
        <c:auto val="1"/>
        <c:lblAlgn val="ctr"/>
        <c:lblOffset val="100"/>
        <c:noMultiLvlLbl val="1"/>
      </c:catAx>
      <c:valAx>
        <c:axId val="17124782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87677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graph-JAN 25 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'!$C$3:$C$10</c:f>
              <c:numCache>
                <c:formatCode>General</c:formatCode>
                <c:ptCount val="8"/>
                <c:pt idx="0">
                  <c:v>410</c:v>
                </c:pt>
                <c:pt idx="1">
                  <c:v>275</c:v>
                </c:pt>
                <c:pt idx="2">
                  <c:v>130</c:v>
                </c:pt>
                <c:pt idx="3">
                  <c:v>115</c:v>
                </c:pt>
                <c:pt idx="4">
                  <c:v>100</c:v>
                </c:pt>
                <c:pt idx="5">
                  <c:v>100</c:v>
                </c:pt>
                <c:pt idx="6">
                  <c:v>60</c:v>
                </c:pt>
                <c:pt idx="7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242004"/>
        <c:axId val="204413588"/>
      </c:barChart>
      <c:lineChart>
        <c:grouping val="standard"/>
        <c:varyColors val="0"/>
        <c:ser>
          <c:idx val="1"/>
          <c:order val="1"/>
          <c:tx>
            <c:strRef>
              <c:f>'Pareto graph-JAN 25 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'!$E$3:$E$10</c:f>
              <c:numCache>
                <c:formatCode>0%</c:formatCode>
                <c:ptCount val="8"/>
                <c:pt idx="0">
                  <c:v>0.33884297520661155</c:v>
                </c:pt>
                <c:pt idx="1">
                  <c:v>0.56611570247933884</c:v>
                </c:pt>
                <c:pt idx="2">
                  <c:v>0.67355371900826444</c:v>
                </c:pt>
                <c:pt idx="3">
                  <c:v>0.76859504132231404</c:v>
                </c:pt>
                <c:pt idx="4">
                  <c:v>0.85123966942148765</c:v>
                </c:pt>
                <c:pt idx="5">
                  <c:v>0.93388429752066116</c:v>
                </c:pt>
                <c:pt idx="6">
                  <c:v>0.98347107438016534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08423"/>
        <c:axId val="399444084"/>
      </c:lineChart>
      <c:catAx>
        <c:axId val="80924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413588"/>
        <c:crosses val="autoZero"/>
        <c:auto val="1"/>
        <c:lblAlgn val="ctr"/>
        <c:lblOffset val="100"/>
        <c:noMultiLvlLbl val="1"/>
      </c:catAx>
      <c:valAx>
        <c:axId val="204413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242004"/>
        <c:crosses val="autoZero"/>
        <c:crossBetween val="between"/>
      </c:valAx>
      <c:catAx>
        <c:axId val="1039108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9444084"/>
        <c:crosses val="autoZero"/>
        <c:auto val="1"/>
        <c:lblAlgn val="ctr"/>
        <c:lblOffset val="100"/>
        <c:noMultiLvlLbl val="1"/>
      </c:catAx>
      <c:valAx>
        <c:axId val="3994440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91084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946-4979-8CD3-526110367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25'!$C$3:$C$11</c:f>
              <c:numCache>
                <c:formatCode>General</c:formatCode>
                <c:ptCount val="9"/>
                <c:pt idx="0">
                  <c:v>625</c:v>
                </c:pt>
                <c:pt idx="1">
                  <c:v>615</c:v>
                </c:pt>
                <c:pt idx="2">
                  <c:v>200</c:v>
                </c:pt>
                <c:pt idx="3">
                  <c:v>160</c:v>
                </c:pt>
                <c:pt idx="4">
                  <c:v>125</c:v>
                </c:pt>
                <c:pt idx="5">
                  <c:v>115</c:v>
                </c:pt>
                <c:pt idx="6">
                  <c:v>90</c:v>
                </c:pt>
                <c:pt idx="7">
                  <c:v>80</c:v>
                </c:pt>
                <c:pt idx="8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718588"/>
        <c:axId val="2041006571"/>
      </c:barChart>
      <c:lineChart>
        <c:grouping val="standard"/>
        <c:varyColors val="0"/>
        <c:ser>
          <c:idx val="1"/>
          <c:order val="1"/>
          <c:tx>
            <c:strRef>
              <c:f>'Pareto graph-Feb 25'!$E$2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25'!$E$3:$E$11</c:f>
              <c:numCache>
                <c:formatCode>0%</c:formatCode>
                <c:ptCount val="9"/>
                <c:pt idx="0">
                  <c:v>0.30413625304136255</c:v>
                </c:pt>
                <c:pt idx="1">
                  <c:v>0.6034063260340633</c:v>
                </c:pt>
                <c:pt idx="2">
                  <c:v>0.7007299270072993</c:v>
                </c:pt>
                <c:pt idx="3">
                  <c:v>0.77858880778588813</c:v>
                </c:pt>
                <c:pt idx="4">
                  <c:v>0.83941605839416056</c:v>
                </c:pt>
                <c:pt idx="5">
                  <c:v>0.89537712895377131</c:v>
                </c:pt>
                <c:pt idx="6">
                  <c:v>0.93917274939172746</c:v>
                </c:pt>
                <c:pt idx="7">
                  <c:v>0.97810218978102192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20990"/>
        <c:axId val="1807725734"/>
      </c:lineChart>
      <c:catAx>
        <c:axId val="1941718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006571"/>
        <c:crosses val="autoZero"/>
        <c:auto val="1"/>
        <c:lblAlgn val="ctr"/>
        <c:lblOffset val="100"/>
        <c:noMultiLvlLbl val="1"/>
      </c:catAx>
      <c:valAx>
        <c:axId val="2041006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718588"/>
        <c:crosses val="autoZero"/>
        <c:crossBetween val="between"/>
      </c:valAx>
      <c:catAx>
        <c:axId val="8741209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7725734"/>
        <c:crosses val="autoZero"/>
        <c:auto val="1"/>
        <c:lblAlgn val="ctr"/>
        <c:lblOffset val="100"/>
        <c:noMultiLvlLbl val="1"/>
      </c:catAx>
      <c:valAx>
        <c:axId val="18077257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41209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25'!$C$14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B2A-45E0-B089-35CC37354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25'!$C$15:$C$21</c:f>
              <c:numCache>
                <c:formatCode>General</c:formatCode>
                <c:ptCount val="7"/>
                <c:pt idx="0">
                  <c:v>160</c:v>
                </c:pt>
                <c:pt idx="1">
                  <c:v>140</c:v>
                </c:pt>
                <c:pt idx="2">
                  <c:v>120</c:v>
                </c:pt>
                <c:pt idx="3">
                  <c:v>85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697231"/>
        <c:axId val="1504409385"/>
      </c:barChart>
      <c:lineChart>
        <c:grouping val="standard"/>
        <c:varyColors val="0"/>
        <c:ser>
          <c:idx val="1"/>
          <c:order val="1"/>
          <c:tx>
            <c:strRef>
              <c:f>'Pareto graph-Feb 25'!$E$14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25'!$E$15:$E$21</c:f>
              <c:numCache>
                <c:formatCode>0%</c:formatCode>
                <c:ptCount val="7"/>
                <c:pt idx="0">
                  <c:v>0.25600000000000001</c:v>
                </c:pt>
                <c:pt idx="1">
                  <c:v>0.48</c:v>
                </c:pt>
                <c:pt idx="2">
                  <c:v>0.67200000000000004</c:v>
                </c:pt>
                <c:pt idx="3">
                  <c:v>0.80800000000000005</c:v>
                </c:pt>
                <c:pt idx="4">
                  <c:v>0.872</c:v>
                </c:pt>
                <c:pt idx="5">
                  <c:v>0.93600000000000005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842467"/>
        <c:axId val="355824662"/>
      </c:lineChart>
      <c:catAx>
        <c:axId val="19969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4409385"/>
        <c:crosses val="autoZero"/>
        <c:auto val="1"/>
        <c:lblAlgn val="ctr"/>
        <c:lblOffset val="100"/>
        <c:noMultiLvlLbl val="1"/>
      </c:catAx>
      <c:valAx>
        <c:axId val="1504409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97231"/>
        <c:crosses val="autoZero"/>
        <c:crossBetween val="between"/>
      </c:valAx>
      <c:catAx>
        <c:axId val="13018424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5824662"/>
        <c:crosses val="autoZero"/>
        <c:auto val="1"/>
        <c:lblAlgn val="ctr"/>
        <c:lblOffset val="100"/>
        <c:noMultiLvlLbl val="1"/>
      </c:catAx>
      <c:valAx>
        <c:axId val="3558246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18424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25'!$C$33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6A5-4D04-946A-7C06045EC5D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6A5-4D04-946A-7C06045EC5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25'!$C$34:$C$38</c:f>
              <c:numCache>
                <c:formatCode>General</c:formatCode>
                <c:ptCount val="5"/>
                <c:pt idx="0">
                  <c:v>320</c:v>
                </c:pt>
                <c:pt idx="1">
                  <c:v>120</c:v>
                </c:pt>
                <c:pt idx="2">
                  <c:v>105</c:v>
                </c:pt>
                <c:pt idx="3">
                  <c:v>40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296985"/>
        <c:axId val="1715203421"/>
      </c:barChart>
      <c:lineChart>
        <c:grouping val="standard"/>
        <c:varyColors val="0"/>
        <c:ser>
          <c:idx val="1"/>
          <c:order val="1"/>
          <c:tx>
            <c:strRef>
              <c:f>'Pareto graph-Feb 25'!$E$33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25'!$E$34:$E$38</c:f>
              <c:numCache>
                <c:formatCode>0%</c:formatCode>
                <c:ptCount val="5"/>
                <c:pt idx="0">
                  <c:v>0.52032520325203258</c:v>
                </c:pt>
                <c:pt idx="1">
                  <c:v>0.71544715447154472</c:v>
                </c:pt>
                <c:pt idx="2">
                  <c:v>0.88617886178861793</c:v>
                </c:pt>
                <c:pt idx="3">
                  <c:v>0.95121951219512191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699157"/>
        <c:axId val="61065698"/>
      </c:lineChart>
      <c:catAx>
        <c:axId val="1629296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203421"/>
        <c:crosses val="autoZero"/>
        <c:auto val="1"/>
        <c:lblAlgn val="ctr"/>
        <c:lblOffset val="100"/>
        <c:noMultiLvlLbl val="1"/>
      </c:catAx>
      <c:valAx>
        <c:axId val="1715203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296985"/>
        <c:crosses val="autoZero"/>
        <c:crossBetween val="between"/>
      </c:valAx>
      <c:catAx>
        <c:axId val="10576991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065698"/>
        <c:crosses val="autoZero"/>
        <c:auto val="1"/>
        <c:lblAlgn val="ctr"/>
        <c:lblOffset val="100"/>
        <c:noMultiLvlLbl val="1"/>
      </c:catAx>
      <c:valAx>
        <c:axId val="610656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769915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25'!$C$56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B19-4568-9A7D-BC13CFE6F5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25'!$C$57:$C$58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263156"/>
        <c:axId val="2062554989"/>
      </c:barChart>
      <c:lineChart>
        <c:grouping val="standard"/>
        <c:varyColors val="0"/>
        <c:ser>
          <c:idx val="1"/>
          <c:order val="1"/>
          <c:tx>
            <c:strRef>
              <c:f>'Pareto graph-Feb 25'!$E$56</c:f>
              <c:strCache>
                <c:ptCount val="1"/>
                <c:pt idx="0">
                  <c:v>40%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25'!$E$57:$E$58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989225"/>
        <c:axId val="1899146348"/>
      </c:lineChart>
      <c:catAx>
        <c:axId val="207426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2554989"/>
        <c:crosses val="autoZero"/>
        <c:auto val="1"/>
        <c:lblAlgn val="ctr"/>
        <c:lblOffset val="100"/>
        <c:noMultiLvlLbl val="1"/>
      </c:catAx>
      <c:valAx>
        <c:axId val="2062554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4263156"/>
        <c:crosses val="autoZero"/>
        <c:crossBetween val="between"/>
      </c:valAx>
      <c:catAx>
        <c:axId val="8489892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9146348"/>
        <c:crosses val="autoZero"/>
        <c:auto val="1"/>
        <c:lblAlgn val="ctr"/>
        <c:lblOffset val="100"/>
        <c:noMultiLvlLbl val="1"/>
      </c:catAx>
      <c:valAx>
        <c:axId val="18991463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9892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409575</xdr:colOff>
      <xdr:row>1</xdr:row>
      <xdr:rowOff>152400</xdr:rowOff>
    </xdr:from>
    <xdr:ext cx="5715000" cy="3190875"/>
    <xdr:graphicFrame macro="">
      <xdr:nvGraphicFramePr>
        <xdr:cNvPr id="1564439426" name="Chart 1" title="Chart">
          <a:extLst>
            <a:ext uri="{FF2B5EF4-FFF2-40B4-BE49-F238E27FC236}">
              <a16:creationId xmlns:a16="http://schemas.microsoft.com/office/drawing/2014/main" id="{00000000-0008-0000-0000-000082733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21</xdr:row>
      <xdr:rowOff>57150</xdr:rowOff>
    </xdr:from>
    <xdr:ext cx="5715000" cy="3533775"/>
    <xdr:graphicFrame macro="">
      <xdr:nvGraphicFramePr>
        <xdr:cNvPr id="319029236" name="Chart 2" title="Chart">
          <a:extLst>
            <a:ext uri="{FF2B5EF4-FFF2-40B4-BE49-F238E27FC236}">
              <a16:creationId xmlns:a16="http://schemas.microsoft.com/office/drawing/2014/main" id="{00000000-0008-0000-0000-0000F4FF0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447675</xdr:colOff>
      <xdr:row>24</xdr:row>
      <xdr:rowOff>47625</xdr:rowOff>
    </xdr:from>
    <xdr:ext cx="5791200" cy="1866900"/>
    <xdr:graphicFrame macro="">
      <xdr:nvGraphicFramePr>
        <xdr:cNvPr id="1093267953" name="Chart 3" title="Chart">
          <a:extLst>
            <a:ext uri="{FF2B5EF4-FFF2-40B4-BE49-F238E27FC236}">
              <a16:creationId xmlns:a16="http://schemas.microsoft.com/office/drawing/2014/main" id="{00000000-0008-0000-0200-0000F1F12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381000</xdr:colOff>
      <xdr:row>45</xdr:row>
      <xdr:rowOff>76200</xdr:rowOff>
    </xdr:from>
    <xdr:ext cx="5953125" cy="1933575"/>
    <xdr:graphicFrame macro="">
      <xdr:nvGraphicFramePr>
        <xdr:cNvPr id="1158979079" name="Chart 4" title="Chart">
          <a:extLst>
            <a:ext uri="{FF2B5EF4-FFF2-40B4-BE49-F238E27FC236}">
              <a16:creationId xmlns:a16="http://schemas.microsoft.com/office/drawing/2014/main" id="{00000000-0008-0000-0200-0000079E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428625</xdr:colOff>
      <xdr:row>63</xdr:row>
      <xdr:rowOff>152400</xdr:rowOff>
    </xdr:from>
    <xdr:ext cx="5867400" cy="1895475"/>
    <xdr:graphicFrame macro="">
      <xdr:nvGraphicFramePr>
        <xdr:cNvPr id="94915316" name="Chart 5" title="Chart">
          <a:extLst>
            <a:ext uri="{FF2B5EF4-FFF2-40B4-BE49-F238E27FC236}">
              <a16:creationId xmlns:a16="http://schemas.microsoft.com/office/drawing/2014/main" id="{00000000-0008-0000-0200-0000F44AA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381000</xdr:colOff>
      <xdr:row>0</xdr:row>
      <xdr:rowOff>57150</xdr:rowOff>
    </xdr:from>
    <xdr:ext cx="5715000" cy="3114675"/>
    <xdr:graphicFrame macro="">
      <xdr:nvGraphicFramePr>
        <xdr:cNvPr id="1889546146" name="Chart 6" title="Chart">
          <a:extLst>
            <a:ext uri="{FF2B5EF4-FFF2-40B4-BE49-F238E27FC236}">
              <a16:creationId xmlns:a16="http://schemas.microsoft.com/office/drawing/2014/main" id="{00000000-0008-0000-0200-0000A22F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14</xdr:row>
      <xdr:rowOff>19050</xdr:rowOff>
    </xdr:from>
    <xdr:ext cx="5715000" cy="2371725"/>
    <xdr:graphicFrame macro="">
      <xdr:nvGraphicFramePr>
        <xdr:cNvPr id="1967359999" name="Chart 7" title="Chart">
          <a:extLst>
            <a:ext uri="{FF2B5EF4-FFF2-40B4-BE49-F238E27FC236}">
              <a16:creationId xmlns:a16="http://schemas.microsoft.com/office/drawing/2014/main" id="{00000000-0008-0000-0400-0000FF874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600075</xdr:colOff>
      <xdr:row>35</xdr:row>
      <xdr:rowOff>114300</xdr:rowOff>
    </xdr:from>
    <xdr:ext cx="5419725" cy="2190750"/>
    <xdr:graphicFrame macro="">
      <xdr:nvGraphicFramePr>
        <xdr:cNvPr id="808738626" name="Chart 8" title="Chart">
          <a:extLst>
            <a:ext uri="{FF2B5EF4-FFF2-40B4-BE49-F238E27FC236}">
              <a16:creationId xmlns:a16="http://schemas.microsoft.com/office/drawing/2014/main" id="{00000000-0008-0000-0400-0000425F3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619125</xdr:colOff>
      <xdr:row>59</xdr:row>
      <xdr:rowOff>28575</xdr:rowOff>
    </xdr:from>
    <xdr:ext cx="4972050" cy="1943100"/>
    <xdr:graphicFrame macro="">
      <xdr:nvGraphicFramePr>
        <xdr:cNvPr id="1471235025" name="Chart 9" title="Chart">
          <a:extLst>
            <a:ext uri="{FF2B5EF4-FFF2-40B4-BE49-F238E27FC236}">
              <a16:creationId xmlns:a16="http://schemas.microsoft.com/office/drawing/2014/main" id="{00000000-0008-0000-0400-0000D143B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400050</xdr:colOff>
      <xdr:row>1</xdr:row>
      <xdr:rowOff>38100</xdr:rowOff>
    </xdr:from>
    <xdr:ext cx="5715000" cy="2647950"/>
    <xdr:graphicFrame macro="">
      <xdr:nvGraphicFramePr>
        <xdr:cNvPr id="1010296032" name="Chart 10" title="Chart">
          <a:extLst>
            <a:ext uri="{FF2B5EF4-FFF2-40B4-BE49-F238E27FC236}">
              <a16:creationId xmlns:a16="http://schemas.microsoft.com/office/drawing/2014/main" id="{00000000-0008-0000-0400-0000E0E43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1</xdr:row>
      <xdr:rowOff>76200</xdr:rowOff>
    </xdr:from>
    <xdr:ext cx="5715000" cy="2390775"/>
    <xdr:graphicFrame macro="">
      <xdr:nvGraphicFramePr>
        <xdr:cNvPr id="379629639" name="Chart 11" title="Chart">
          <a:extLst>
            <a:ext uri="{FF2B5EF4-FFF2-40B4-BE49-F238E27FC236}">
              <a16:creationId xmlns:a16="http://schemas.microsoft.com/office/drawing/2014/main" id="{00000000-0008-0000-0600-000047B0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123825</xdr:colOff>
      <xdr:row>12</xdr:row>
      <xdr:rowOff>28575</xdr:rowOff>
    </xdr:from>
    <xdr:ext cx="5715000" cy="2390775"/>
    <xdr:graphicFrame macro="">
      <xdr:nvGraphicFramePr>
        <xdr:cNvPr id="1340099473" name="Chart 12" title="Chart">
          <a:extLst>
            <a:ext uri="{FF2B5EF4-FFF2-40B4-BE49-F238E27FC236}">
              <a16:creationId xmlns:a16="http://schemas.microsoft.com/office/drawing/2014/main" id="{00000000-0008-0000-0600-0000914BE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190500</xdr:colOff>
      <xdr:row>31</xdr:row>
      <xdr:rowOff>0</xdr:rowOff>
    </xdr:from>
    <xdr:ext cx="5715000" cy="2390775"/>
    <xdr:graphicFrame macro="">
      <xdr:nvGraphicFramePr>
        <xdr:cNvPr id="627445319" name="Chart 13" title="Chart">
          <a:extLst>
            <a:ext uri="{FF2B5EF4-FFF2-40B4-BE49-F238E27FC236}">
              <a16:creationId xmlns:a16="http://schemas.microsoft.com/office/drawing/2014/main" id="{00000000-0008-0000-0600-0000470E6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190500</xdr:colOff>
      <xdr:row>52</xdr:row>
      <xdr:rowOff>104775</xdr:rowOff>
    </xdr:from>
    <xdr:ext cx="5715000" cy="2390775"/>
    <xdr:graphicFrame macro="">
      <xdr:nvGraphicFramePr>
        <xdr:cNvPr id="530174609" name="Chart 14" title="Chart">
          <a:extLst>
            <a:ext uri="{FF2B5EF4-FFF2-40B4-BE49-F238E27FC236}">
              <a16:creationId xmlns:a16="http://schemas.microsoft.com/office/drawing/2014/main" id="{00000000-0008-0000-0600-000091D29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495300</xdr:colOff>
      <xdr:row>12</xdr:row>
      <xdr:rowOff>28575</xdr:rowOff>
    </xdr:from>
    <xdr:ext cx="2066925" cy="2028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317300" y="2770350"/>
          <a:ext cx="2057400" cy="2019300"/>
        </a:xfrm>
        <a:prstGeom prst="ellipse">
          <a:avLst/>
        </a:prstGeom>
        <a:noFill/>
        <a:ln w="12700" cap="flat" cmpd="sng">
          <a:solidFill>
            <a:srgbClr val="92D05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2</xdr:row>
      <xdr:rowOff>123825</xdr:rowOff>
    </xdr:from>
    <xdr:ext cx="10582275" cy="5038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002"/>
  <sheetViews>
    <sheetView topLeftCell="A30" workbookViewId="0">
      <selection activeCell="D10" sqref="D10"/>
    </sheetView>
  </sheetViews>
  <sheetFormatPr defaultColWidth="14.42578125" defaultRowHeight="15" customHeight="1" x14ac:dyDescent="0.25"/>
  <cols>
    <col min="1" max="1" width="8.7109375" customWidth="1"/>
    <col min="2" max="2" width="42.28515625" customWidth="1"/>
    <col min="3" max="4" width="8.7109375" customWidth="1"/>
    <col min="5" max="5" width="10.85546875" customWidth="1"/>
    <col min="6" max="18" width="8.7109375" customWidth="1"/>
    <col min="19" max="19" width="56.5703125" customWidth="1"/>
    <col min="20" max="26" width="8.7109375" customWidth="1"/>
  </cols>
  <sheetData>
    <row r="2" spans="2:22" x14ac:dyDescent="0.25">
      <c r="B2" s="152" t="s">
        <v>0</v>
      </c>
      <c r="C2" s="153"/>
      <c r="D2" s="153"/>
      <c r="E2" s="154"/>
      <c r="S2" s="155" t="s">
        <v>0</v>
      </c>
      <c r="T2" s="153"/>
      <c r="U2" s="153"/>
      <c r="V2" s="154"/>
    </row>
    <row r="3" spans="2:22" x14ac:dyDescent="0.25">
      <c r="B3" s="1" t="s">
        <v>1</v>
      </c>
      <c r="C3" s="2" t="s">
        <v>2</v>
      </c>
      <c r="D3" s="2" t="s">
        <v>3</v>
      </c>
      <c r="E3" s="3">
        <v>45707</v>
      </c>
      <c r="S3" s="4" t="s">
        <v>1</v>
      </c>
      <c r="T3" s="5" t="s">
        <v>2</v>
      </c>
      <c r="U3" s="5" t="s">
        <v>3</v>
      </c>
      <c r="V3" s="6">
        <v>45707</v>
      </c>
    </row>
    <row r="4" spans="2:22" x14ac:dyDescent="0.25">
      <c r="B4" s="7" t="s">
        <v>4</v>
      </c>
      <c r="C4" s="2">
        <v>1250</v>
      </c>
      <c r="D4" s="2">
        <v>100</v>
      </c>
      <c r="E4" s="2">
        <v>1145</v>
      </c>
      <c r="S4" s="4" t="s">
        <v>4</v>
      </c>
      <c r="T4" s="5">
        <v>1250</v>
      </c>
      <c r="U4" s="5">
        <v>100</v>
      </c>
      <c r="V4" s="5">
        <v>1145</v>
      </c>
    </row>
    <row r="5" spans="2:22" x14ac:dyDescent="0.25">
      <c r="B5" s="7" t="s">
        <v>5</v>
      </c>
      <c r="C5" s="2">
        <v>740</v>
      </c>
      <c r="D5" s="2">
        <v>610</v>
      </c>
      <c r="E5" s="2">
        <v>530</v>
      </c>
      <c r="S5" s="4" t="s">
        <v>5</v>
      </c>
      <c r="T5" s="5">
        <v>740</v>
      </c>
      <c r="U5" s="5">
        <v>610</v>
      </c>
      <c r="V5" s="5">
        <v>530</v>
      </c>
    </row>
    <row r="6" spans="2:22" x14ac:dyDescent="0.25">
      <c r="B6" s="7" t="s">
        <v>6</v>
      </c>
      <c r="C6" s="2">
        <v>496</v>
      </c>
      <c r="D6" s="2">
        <v>155</v>
      </c>
      <c r="E6" s="2">
        <v>80</v>
      </c>
      <c r="S6" s="4" t="s">
        <v>6</v>
      </c>
      <c r="T6" s="5">
        <v>496</v>
      </c>
      <c r="U6" s="5">
        <v>155</v>
      </c>
      <c r="V6" s="5">
        <v>80</v>
      </c>
    </row>
    <row r="7" spans="2:22" x14ac:dyDescent="0.25">
      <c r="B7" s="7" t="s">
        <v>7</v>
      </c>
      <c r="C7" s="2">
        <v>5795</v>
      </c>
      <c r="D7" s="2">
        <v>9485</v>
      </c>
      <c r="E7" s="2">
        <v>1940</v>
      </c>
      <c r="S7" s="4" t="s">
        <v>7</v>
      </c>
      <c r="T7" s="5">
        <v>0</v>
      </c>
      <c r="U7" s="5">
        <v>0</v>
      </c>
      <c r="V7" s="5">
        <v>0</v>
      </c>
    </row>
    <row r="8" spans="2:22" x14ac:dyDescent="0.25">
      <c r="B8" s="1" t="s">
        <v>8</v>
      </c>
      <c r="C8" s="2">
        <v>20</v>
      </c>
      <c r="D8" s="2">
        <v>0</v>
      </c>
      <c r="E8" s="2">
        <v>0</v>
      </c>
      <c r="S8" s="4" t="s">
        <v>8</v>
      </c>
      <c r="T8" s="5">
        <v>20</v>
      </c>
      <c r="U8" s="5">
        <v>0</v>
      </c>
      <c r="V8" s="5">
        <v>0</v>
      </c>
    </row>
    <row r="9" spans="2:22" x14ac:dyDescent="0.25">
      <c r="B9" s="1" t="s">
        <v>9</v>
      </c>
      <c r="C9" s="2">
        <v>170</v>
      </c>
      <c r="D9" s="2">
        <v>80</v>
      </c>
      <c r="E9" s="2">
        <v>160</v>
      </c>
      <c r="S9" s="4" t="s">
        <v>9</v>
      </c>
      <c r="T9" s="5">
        <v>170</v>
      </c>
      <c r="U9" s="5">
        <v>80</v>
      </c>
      <c r="V9" s="5">
        <v>160</v>
      </c>
    </row>
    <row r="10" spans="2:22" x14ac:dyDescent="0.25">
      <c r="B10" s="7" t="s">
        <v>10</v>
      </c>
      <c r="C10" s="2">
        <v>540</v>
      </c>
      <c r="D10" s="2">
        <v>465</v>
      </c>
      <c r="E10" s="2">
        <v>95</v>
      </c>
      <c r="S10" s="4" t="s">
        <v>10</v>
      </c>
      <c r="T10" s="5">
        <v>0</v>
      </c>
      <c r="U10" s="5">
        <v>0</v>
      </c>
      <c r="V10" s="5">
        <v>0</v>
      </c>
    </row>
    <row r="11" spans="2:22" x14ac:dyDescent="0.25">
      <c r="B11" s="1" t="s">
        <v>11</v>
      </c>
      <c r="C11" s="2">
        <v>0</v>
      </c>
      <c r="D11" s="2">
        <v>0</v>
      </c>
      <c r="E11" s="2">
        <v>0</v>
      </c>
      <c r="S11" s="4" t="s">
        <v>11</v>
      </c>
      <c r="T11" s="5">
        <v>0</v>
      </c>
      <c r="U11" s="5">
        <v>0</v>
      </c>
      <c r="V11" s="5">
        <v>0</v>
      </c>
    </row>
    <row r="12" spans="2:22" x14ac:dyDescent="0.25">
      <c r="B12" s="7" t="s">
        <v>12</v>
      </c>
      <c r="C12" s="2">
        <v>395</v>
      </c>
      <c r="D12" s="2">
        <v>235</v>
      </c>
      <c r="E12" s="2">
        <v>410</v>
      </c>
      <c r="S12" s="4" t="s">
        <v>12</v>
      </c>
      <c r="T12" s="5">
        <v>0</v>
      </c>
      <c r="U12" s="5">
        <v>0</v>
      </c>
      <c r="V12" s="5">
        <v>0</v>
      </c>
    </row>
    <row r="13" spans="2:22" x14ac:dyDescent="0.25">
      <c r="B13" s="7" t="s">
        <v>13</v>
      </c>
      <c r="C13" s="2">
        <v>570</v>
      </c>
      <c r="D13" s="2">
        <v>265</v>
      </c>
      <c r="E13" s="2">
        <v>140</v>
      </c>
      <c r="S13" s="4" t="s">
        <v>13</v>
      </c>
      <c r="T13" s="5">
        <v>570</v>
      </c>
      <c r="U13" s="5">
        <v>265</v>
      </c>
      <c r="V13" s="5">
        <v>140</v>
      </c>
    </row>
    <row r="14" spans="2:22" x14ac:dyDescent="0.25">
      <c r="B14" s="1" t="s">
        <v>14</v>
      </c>
      <c r="C14" s="2">
        <v>3385</v>
      </c>
      <c r="D14" s="2">
        <v>0</v>
      </c>
      <c r="E14" s="2">
        <v>240</v>
      </c>
      <c r="S14" s="4" t="s">
        <v>14</v>
      </c>
      <c r="T14" s="8"/>
      <c r="U14" s="8"/>
      <c r="V14" s="8"/>
    </row>
    <row r="15" spans="2:22" x14ac:dyDescent="0.25">
      <c r="B15" s="7" t="s">
        <v>15</v>
      </c>
      <c r="C15" s="2">
        <v>2000</v>
      </c>
      <c r="D15" s="2">
        <v>2115</v>
      </c>
      <c r="E15" s="2">
        <v>1505</v>
      </c>
      <c r="S15" s="4" t="s">
        <v>15</v>
      </c>
      <c r="T15" s="5">
        <v>2000</v>
      </c>
      <c r="U15" s="5">
        <v>2115</v>
      </c>
      <c r="V15" s="5">
        <v>1505</v>
      </c>
    </row>
    <row r="16" spans="2:22" x14ac:dyDescent="0.25">
      <c r="B16" s="9" t="s">
        <v>16</v>
      </c>
      <c r="C16" s="5">
        <f t="shared" ref="C16:E16" si="0">SUM(C4:C15)</f>
        <v>15361</v>
      </c>
      <c r="D16" s="5">
        <f t="shared" si="0"/>
        <v>13510</v>
      </c>
      <c r="E16" s="5">
        <f t="shared" si="0"/>
        <v>6245</v>
      </c>
      <c r="S16" s="10" t="s">
        <v>16</v>
      </c>
      <c r="T16" s="5">
        <f t="shared" ref="T16:V16" si="1">SUM(T4:T15)</f>
        <v>5246</v>
      </c>
      <c r="U16" s="5">
        <f t="shared" si="1"/>
        <v>3325</v>
      </c>
      <c r="V16" s="5">
        <f t="shared" si="1"/>
        <v>3560</v>
      </c>
    </row>
    <row r="17" spans="2:22" x14ac:dyDescent="0.25">
      <c r="B17" s="11" t="s">
        <v>17</v>
      </c>
      <c r="C17" s="12">
        <f t="shared" ref="C17:D17" si="2">((31*1440*2)-C16)/(1440*31*2)%</f>
        <v>82.794578853046602</v>
      </c>
      <c r="D17" s="12">
        <f t="shared" si="2"/>
        <v>84.867831541218649</v>
      </c>
      <c r="E17" s="12">
        <f>((19*1440*2)-E16)/(1440*19*2)%</f>
        <v>88.587353801169584</v>
      </c>
      <c r="S17" s="11" t="s">
        <v>17</v>
      </c>
      <c r="T17" s="12">
        <f t="shared" ref="T17:U17" si="3">((31*1440*2)-T16)/(1440*31*2)%</f>
        <v>94.12410394265234</v>
      </c>
      <c r="U17" s="12">
        <f t="shared" si="3"/>
        <v>96.275761648745529</v>
      </c>
      <c r="V17" s="12">
        <f>((19*1440*2)-V16)/(1440*19*2)%</f>
        <v>93.494152046783611</v>
      </c>
    </row>
    <row r="18" spans="2:22" x14ac:dyDescent="0.25">
      <c r="B18" s="13" t="s">
        <v>18</v>
      </c>
      <c r="C18" s="14">
        <v>182041</v>
      </c>
      <c r="D18" s="14">
        <v>186692</v>
      </c>
      <c r="E18" s="14">
        <v>126334</v>
      </c>
      <c r="S18" s="15" t="s">
        <v>18</v>
      </c>
      <c r="T18" s="14">
        <v>182041</v>
      </c>
      <c r="U18" s="14">
        <v>186692</v>
      </c>
      <c r="V18" s="14">
        <v>126334</v>
      </c>
    </row>
    <row r="19" spans="2:22" ht="18" customHeight="1" x14ac:dyDescent="0.25">
      <c r="B19" s="16"/>
      <c r="C19" s="16"/>
      <c r="D19" s="16"/>
      <c r="E19" s="16"/>
      <c r="S19" s="11"/>
      <c r="T19" s="17"/>
      <c r="U19" s="17"/>
      <c r="V19" s="16"/>
    </row>
    <row r="20" spans="2:22" x14ac:dyDescent="0.25">
      <c r="S20" s="18"/>
      <c r="T20" s="18"/>
      <c r="U20" s="18"/>
      <c r="V20" s="18"/>
    </row>
    <row r="22" spans="2:22" ht="15.75" customHeight="1" x14ac:dyDescent="0.25">
      <c r="B22" s="152" t="s">
        <v>19</v>
      </c>
      <c r="C22" s="153"/>
      <c r="D22" s="153"/>
      <c r="E22" s="154"/>
      <c r="S22" s="152" t="s">
        <v>19</v>
      </c>
      <c r="T22" s="153"/>
      <c r="U22" s="153"/>
      <c r="V22" s="154"/>
    </row>
    <row r="23" spans="2:22" ht="15.75" customHeight="1" x14ac:dyDescent="0.25">
      <c r="B23" s="1" t="s">
        <v>1</v>
      </c>
      <c r="C23" s="2" t="s">
        <v>2</v>
      </c>
      <c r="D23" s="2" t="s">
        <v>3</v>
      </c>
      <c r="E23" s="3">
        <v>45707</v>
      </c>
      <c r="S23" s="1" t="s">
        <v>1</v>
      </c>
      <c r="T23" s="2" t="s">
        <v>2</v>
      </c>
      <c r="U23" s="2" t="s">
        <v>3</v>
      </c>
      <c r="V23" s="3">
        <v>45707</v>
      </c>
    </row>
    <row r="24" spans="2:22" ht="15.75" customHeight="1" x14ac:dyDescent="0.25">
      <c r="B24" s="7" t="s">
        <v>4</v>
      </c>
      <c r="C24" s="2">
        <v>143</v>
      </c>
      <c r="D24" s="2">
        <v>220</v>
      </c>
      <c r="E24" s="2">
        <v>80</v>
      </c>
      <c r="S24" s="7" t="s">
        <v>4</v>
      </c>
      <c r="T24" s="2">
        <v>143</v>
      </c>
      <c r="U24" s="2">
        <v>220</v>
      </c>
      <c r="V24" s="2">
        <v>80</v>
      </c>
    </row>
    <row r="25" spans="2:22" ht="15.75" customHeight="1" x14ac:dyDescent="0.25">
      <c r="B25" s="7" t="s">
        <v>8</v>
      </c>
      <c r="C25" s="2">
        <v>0</v>
      </c>
      <c r="D25" s="2">
        <v>15</v>
      </c>
      <c r="E25" s="2">
        <v>75</v>
      </c>
      <c r="S25" s="7" t="s">
        <v>8</v>
      </c>
      <c r="T25" s="2">
        <v>0</v>
      </c>
      <c r="U25" s="2">
        <v>15</v>
      </c>
      <c r="V25" s="2">
        <v>75</v>
      </c>
    </row>
    <row r="26" spans="2:22" ht="15.75" customHeight="1" x14ac:dyDescent="0.25">
      <c r="B26" s="7" t="s">
        <v>5</v>
      </c>
      <c r="C26" s="2">
        <v>320</v>
      </c>
      <c r="D26" s="2">
        <v>155</v>
      </c>
      <c r="E26" s="2">
        <v>195</v>
      </c>
      <c r="S26" s="7" t="s">
        <v>5</v>
      </c>
      <c r="T26" s="2">
        <v>320</v>
      </c>
      <c r="U26" s="2">
        <v>155</v>
      </c>
      <c r="V26" s="2">
        <v>195</v>
      </c>
    </row>
    <row r="27" spans="2:22" ht="15.75" customHeight="1" x14ac:dyDescent="0.25">
      <c r="B27" s="7" t="s">
        <v>6</v>
      </c>
      <c r="C27" s="2">
        <v>140</v>
      </c>
      <c r="D27" s="2">
        <v>80</v>
      </c>
      <c r="E27" s="2">
        <v>30</v>
      </c>
      <c r="S27" s="7" t="s">
        <v>6</v>
      </c>
      <c r="T27" s="2">
        <v>140</v>
      </c>
      <c r="U27" s="2">
        <v>80</v>
      </c>
      <c r="V27" s="2">
        <v>30</v>
      </c>
    </row>
    <row r="28" spans="2:22" ht="15.75" customHeight="1" x14ac:dyDescent="0.25">
      <c r="B28" s="1" t="s">
        <v>20</v>
      </c>
      <c r="C28" s="2">
        <v>1012</v>
      </c>
      <c r="D28" s="2">
        <v>2404</v>
      </c>
      <c r="E28" s="2">
        <v>470</v>
      </c>
      <c r="S28" s="1" t="s">
        <v>20</v>
      </c>
      <c r="T28" s="5">
        <v>0</v>
      </c>
      <c r="U28" s="5">
        <v>0</v>
      </c>
      <c r="V28" s="5">
        <v>0</v>
      </c>
    </row>
    <row r="29" spans="2:22" ht="15.75" customHeight="1" x14ac:dyDescent="0.25">
      <c r="B29" s="1" t="s">
        <v>10</v>
      </c>
      <c r="C29" s="2">
        <v>422</v>
      </c>
      <c r="D29" s="2">
        <v>490</v>
      </c>
      <c r="E29" s="2">
        <v>50</v>
      </c>
      <c r="S29" s="1" t="s">
        <v>10</v>
      </c>
      <c r="T29" s="5">
        <v>0</v>
      </c>
      <c r="U29" s="5">
        <v>0</v>
      </c>
      <c r="V29" s="5">
        <v>0</v>
      </c>
    </row>
    <row r="30" spans="2:22" ht="15.75" customHeight="1" x14ac:dyDescent="0.25">
      <c r="B30" s="7" t="s">
        <v>21</v>
      </c>
      <c r="C30" s="2">
        <v>251</v>
      </c>
      <c r="D30" s="2">
        <v>120</v>
      </c>
      <c r="E30" s="2">
        <v>112</v>
      </c>
      <c r="S30" s="7" t="s">
        <v>21</v>
      </c>
      <c r="T30" s="2">
        <v>251</v>
      </c>
      <c r="U30" s="2">
        <v>120</v>
      </c>
      <c r="V30" s="2">
        <v>112</v>
      </c>
    </row>
    <row r="31" spans="2:22" ht="15.75" customHeight="1" x14ac:dyDescent="0.25">
      <c r="B31" s="1" t="s">
        <v>13</v>
      </c>
      <c r="C31" s="2">
        <v>0</v>
      </c>
      <c r="D31" s="2">
        <v>60</v>
      </c>
      <c r="E31" s="2">
        <v>205</v>
      </c>
      <c r="S31" s="1" t="s">
        <v>13</v>
      </c>
      <c r="T31" s="2">
        <v>0</v>
      </c>
      <c r="U31" s="2">
        <v>60</v>
      </c>
      <c r="V31" s="2">
        <v>205</v>
      </c>
    </row>
    <row r="32" spans="2:22" ht="15.75" customHeight="1" x14ac:dyDescent="0.25">
      <c r="B32" s="7" t="s">
        <v>14</v>
      </c>
      <c r="C32" s="2">
        <v>1733</v>
      </c>
      <c r="D32" s="2">
        <v>1164</v>
      </c>
      <c r="E32" s="2">
        <v>405</v>
      </c>
      <c r="S32" s="7" t="s">
        <v>14</v>
      </c>
      <c r="T32" s="5">
        <v>0</v>
      </c>
      <c r="U32" s="5">
        <v>0</v>
      </c>
      <c r="V32" s="5">
        <v>0</v>
      </c>
    </row>
    <row r="33" spans="2:22" ht="15.75" customHeight="1" x14ac:dyDescent="0.25">
      <c r="B33" s="7" t="s">
        <v>22</v>
      </c>
      <c r="C33" s="2">
        <v>130</v>
      </c>
      <c r="D33" s="2">
        <v>620</v>
      </c>
      <c r="E33" s="2">
        <v>0</v>
      </c>
      <c r="S33" s="7" t="s">
        <v>22</v>
      </c>
      <c r="T33" s="2">
        <v>130</v>
      </c>
      <c r="U33" s="2">
        <v>620</v>
      </c>
      <c r="V33" s="2">
        <v>0</v>
      </c>
    </row>
    <row r="34" spans="2:22" ht="15.75" customHeight="1" x14ac:dyDescent="0.25">
      <c r="B34" s="1" t="s">
        <v>23</v>
      </c>
      <c r="C34" s="2">
        <v>1120</v>
      </c>
      <c r="D34" s="2">
        <v>1725</v>
      </c>
      <c r="E34" s="2">
        <v>725</v>
      </c>
      <c r="S34" s="1" t="s">
        <v>23</v>
      </c>
      <c r="T34" s="2">
        <v>1120</v>
      </c>
      <c r="U34" s="2">
        <v>1725</v>
      </c>
      <c r="V34" s="2">
        <v>725</v>
      </c>
    </row>
    <row r="35" spans="2:22" ht="15.75" customHeight="1" x14ac:dyDescent="0.25">
      <c r="B35" s="9" t="s">
        <v>16</v>
      </c>
      <c r="C35" s="14">
        <f t="shared" ref="C35:E35" si="4">SUM(C24:C34)</f>
        <v>5271</v>
      </c>
      <c r="D35" s="14">
        <f t="shared" si="4"/>
        <v>7053</v>
      </c>
      <c r="E35" s="14">
        <f t="shared" si="4"/>
        <v>2347</v>
      </c>
      <c r="S35" s="9" t="s">
        <v>16</v>
      </c>
      <c r="T35" s="14">
        <f t="shared" ref="T35:V35" si="5">SUM(T24:T34)</f>
        <v>2104</v>
      </c>
      <c r="U35" s="14">
        <f t="shared" si="5"/>
        <v>2995</v>
      </c>
      <c r="V35" s="14">
        <f t="shared" si="5"/>
        <v>1422</v>
      </c>
    </row>
    <row r="36" spans="2:22" ht="15.75" customHeight="1" x14ac:dyDescent="0.25">
      <c r="B36" s="11" t="s">
        <v>17</v>
      </c>
      <c r="C36" s="12">
        <f t="shared" ref="C36:D36" si="6">((31*1440)-C35)/(1440*31)%</f>
        <v>88.192204301075279</v>
      </c>
      <c r="D36" s="12">
        <f t="shared" si="6"/>
        <v>84.200268817204304</v>
      </c>
      <c r="E36" s="12">
        <f>((19*1440)-E35)/(1440*19)%</f>
        <v>91.421783625730981</v>
      </c>
      <c r="S36" s="11" t="s">
        <v>17</v>
      </c>
      <c r="T36" s="12">
        <f t="shared" ref="T36:U36" si="7">((31*1440)-T35)/(1440*31)%</f>
        <v>95.286738351254485</v>
      </c>
      <c r="U36" s="12">
        <f t="shared" si="7"/>
        <v>93.290770609318997</v>
      </c>
      <c r="V36" s="12">
        <f>((19*1440)-V35)/(1440*19)%</f>
        <v>94.802631578947356</v>
      </c>
    </row>
    <row r="37" spans="2:22" ht="15.75" customHeight="1" x14ac:dyDescent="0.25">
      <c r="B37" s="13" t="s">
        <v>18</v>
      </c>
      <c r="C37" s="14">
        <v>104295</v>
      </c>
      <c r="D37" s="14">
        <v>97881</v>
      </c>
      <c r="E37" s="14">
        <v>69859</v>
      </c>
      <c r="S37" s="13" t="s">
        <v>18</v>
      </c>
      <c r="T37" s="14">
        <v>104295</v>
      </c>
      <c r="U37" s="14">
        <v>97881</v>
      </c>
      <c r="V37" s="14">
        <v>69859</v>
      </c>
    </row>
    <row r="38" spans="2:22" ht="19.5" customHeight="1" x14ac:dyDescent="0.25">
      <c r="B38" s="16"/>
      <c r="C38" s="16"/>
      <c r="D38" s="16"/>
      <c r="E38" s="16"/>
      <c r="S38" s="19"/>
      <c r="T38" s="16"/>
      <c r="U38" s="16"/>
      <c r="V38" s="16"/>
    </row>
    <row r="39" spans="2:22" ht="15.75" customHeight="1" x14ac:dyDescent="0.25"/>
    <row r="40" spans="2:22" ht="15.75" customHeight="1" x14ac:dyDescent="0.25"/>
    <row r="41" spans="2:22" ht="15.75" customHeight="1" x14ac:dyDescent="0.25"/>
    <row r="42" spans="2:22" ht="15.75" customHeight="1" x14ac:dyDescent="0.25"/>
    <row r="43" spans="2:22" ht="15.75" customHeight="1" x14ac:dyDescent="0.25"/>
    <row r="44" spans="2:22" ht="15.75" customHeight="1" x14ac:dyDescent="0.25"/>
    <row r="45" spans="2:22" ht="15.75" customHeight="1" x14ac:dyDescent="0.25"/>
    <row r="46" spans="2:22" ht="15.75" customHeight="1" x14ac:dyDescent="0.25"/>
    <row r="47" spans="2:22" ht="15.75" customHeight="1" x14ac:dyDescent="0.25"/>
    <row r="48" spans="2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B2:E2"/>
    <mergeCell ref="S2:V2"/>
    <mergeCell ref="B22:E22"/>
    <mergeCell ref="S22:V2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A25" workbookViewId="0">
      <selection activeCell="H22" sqref="H22"/>
    </sheetView>
  </sheetViews>
  <sheetFormatPr defaultColWidth="14.42578125" defaultRowHeight="15" customHeight="1" x14ac:dyDescent="0.25"/>
  <cols>
    <col min="1" max="1" width="11.85546875" customWidth="1"/>
    <col min="2" max="2" width="9.140625" customWidth="1"/>
    <col min="3" max="3" width="54.85546875" customWidth="1"/>
    <col min="4" max="4" width="11" customWidth="1"/>
    <col min="5" max="5" width="9.140625" customWidth="1"/>
    <col min="6" max="6" width="20.42578125" customWidth="1"/>
    <col min="7" max="7" width="17.28515625" customWidth="1"/>
    <col min="8" max="8" width="12.42578125" customWidth="1"/>
    <col min="9" max="9" width="9.140625" customWidth="1"/>
    <col min="10" max="22" width="8.7109375" customWidth="1"/>
  </cols>
  <sheetData>
    <row r="1" spans="1:22" ht="12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21.75" customHeight="1" x14ac:dyDescent="0.25">
      <c r="A2" s="21" t="s">
        <v>24</v>
      </c>
      <c r="B2" s="22" t="s">
        <v>25</v>
      </c>
      <c r="C2" s="23" t="s">
        <v>26</v>
      </c>
      <c r="D2" s="24" t="s">
        <v>1</v>
      </c>
      <c r="E2" s="24" t="s">
        <v>25</v>
      </c>
      <c r="F2" s="24" t="s">
        <v>27</v>
      </c>
      <c r="G2" s="25" t="s">
        <v>28</v>
      </c>
      <c r="H2" s="22" t="s">
        <v>29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2.75" customHeight="1" x14ac:dyDescent="0.25">
      <c r="A3" s="26" t="s">
        <v>30</v>
      </c>
      <c r="B3" s="27" t="s">
        <v>31</v>
      </c>
      <c r="C3" s="28" t="s">
        <v>32</v>
      </c>
      <c r="D3" s="26" t="s">
        <v>33</v>
      </c>
      <c r="E3" s="26" t="s">
        <v>31</v>
      </c>
      <c r="F3" s="26" t="s">
        <v>34</v>
      </c>
      <c r="G3" s="27" t="s">
        <v>35</v>
      </c>
      <c r="H3" s="27">
        <v>30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2.75" customHeight="1" x14ac:dyDescent="0.25">
      <c r="A4" s="26" t="s">
        <v>36</v>
      </c>
      <c r="B4" s="27" t="s">
        <v>37</v>
      </c>
      <c r="C4" s="28" t="s">
        <v>38</v>
      </c>
      <c r="D4" s="26" t="s">
        <v>33</v>
      </c>
      <c r="E4" s="26" t="s">
        <v>37</v>
      </c>
      <c r="F4" s="26" t="s">
        <v>39</v>
      </c>
      <c r="G4" s="27" t="s">
        <v>39</v>
      </c>
      <c r="H4" s="27">
        <v>30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2.75" customHeight="1" x14ac:dyDescent="0.25">
      <c r="A5" s="26" t="s">
        <v>36</v>
      </c>
      <c r="B5" s="27" t="s">
        <v>37</v>
      </c>
      <c r="C5" s="28" t="s">
        <v>40</v>
      </c>
      <c r="D5" s="26" t="s">
        <v>33</v>
      </c>
      <c r="E5" s="26" t="s">
        <v>41</v>
      </c>
      <c r="F5" s="26" t="s">
        <v>42</v>
      </c>
      <c r="G5" s="27" t="s">
        <v>42</v>
      </c>
      <c r="H5" s="27">
        <v>120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2.75" customHeight="1" x14ac:dyDescent="0.25">
      <c r="A6" s="26" t="s">
        <v>36</v>
      </c>
      <c r="B6" s="27" t="s">
        <v>37</v>
      </c>
      <c r="C6" s="28" t="s">
        <v>43</v>
      </c>
      <c r="D6" s="26" t="s">
        <v>44</v>
      </c>
      <c r="E6" s="26" t="s">
        <v>45</v>
      </c>
      <c r="F6" s="26" t="s">
        <v>46</v>
      </c>
      <c r="G6" s="27" t="s">
        <v>46</v>
      </c>
      <c r="H6" s="27">
        <v>120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2.75" customHeight="1" x14ac:dyDescent="0.25">
      <c r="A7" s="26" t="s">
        <v>47</v>
      </c>
      <c r="B7" s="27" t="s">
        <v>31</v>
      </c>
      <c r="C7" s="28" t="s">
        <v>48</v>
      </c>
      <c r="D7" s="26" t="s">
        <v>49</v>
      </c>
      <c r="E7" s="27" t="s">
        <v>50</v>
      </c>
      <c r="F7" s="26" t="s">
        <v>51</v>
      </c>
      <c r="G7" s="27" t="s">
        <v>52</v>
      </c>
      <c r="H7" s="27">
        <v>20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2.75" customHeight="1" x14ac:dyDescent="0.25">
      <c r="A8" s="26" t="s">
        <v>47</v>
      </c>
      <c r="B8" s="27" t="s">
        <v>31</v>
      </c>
      <c r="C8" s="28" t="s">
        <v>53</v>
      </c>
      <c r="D8" s="26" t="s">
        <v>49</v>
      </c>
      <c r="E8" s="26" t="s">
        <v>50</v>
      </c>
      <c r="F8" s="26" t="s">
        <v>51</v>
      </c>
      <c r="G8" s="27" t="s">
        <v>52</v>
      </c>
      <c r="H8" s="27">
        <v>80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12.75" customHeight="1" x14ac:dyDescent="0.25">
      <c r="A9" s="26" t="s">
        <v>47</v>
      </c>
      <c r="B9" s="27" t="s">
        <v>37</v>
      </c>
      <c r="C9" s="28" t="s">
        <v>54</v>
      </c>
      <c r="D9" s="26" t="s">
        <v>5</v>
      </c>
      <c r="E9" s="26" t="s">
        <v>55</v>
      </c>
      <c r="F9" s="26" t="s">
        <v>56</v>
      </c>
      <c r="G9" s="27" t="s">
        <v>57</v>
      </c>
      <c r="H9" s="27">
        <v>30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12.75" customHeight="1" x14ac:dyDescent="0.25">
      <c r="A10" s="26" t="s">
        <v>47</v>
      </c>
      <c r="B10" s="27" t="s">
        <v>37</v>
      </c>
      <c r="C10" s="28" t="s">
        <v>58</v>
      </c>
      <c r="D10" s="26" t="s">
        <v>33</v>
      </c>
      <c r="E10" s="26" t="s">
        <v>41</v>
      </c>
      <c r="F10" s="26" t="s">
        <v>59</v>
      </c>
      <c r="G10" s="27" t="s">
        <v>60</v>
      </c>
      <c r="H10" s="27">
        <v>50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12.75" customHeight="1" x14ac:dyDescent="0.25">
      <c r="A11" s="26" t="s">
        <v>61</v>
      </c>
      <c r="B11" s="27" t="s">
        <v>37</v>
      </c>
      <c r="C11" s="28" t="s">
        <v>62</v>
      </c>
      <c r="D11" s="26" t="s">
        <v>33</v>
      </c>
      <c r="E11" s="26" t="s">
        <v>37</v>
      </c>
      <c r="F11" s="26" t="s">
        <v>59</v>
      </c>
      <c r="G11" s="27" t="s">
        <v>59</v>
      </c>
      <c r="H11" s="27">
        <v>60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12.75" customHeight="1" x14ac:dyDescent="0.25">
      <c r="A12" s="26" t="s">
        <v>61</v>
      </c>
      <c r="B12" s="27" t="s">
        <v>37</v>
      </c>
      <c r="C12" s="28" t="s">
        <v>63</v>
      </c>
      <c r="D12" s="26" t="s">
        <v>33</v>
      </c>
      <c r="E12" s="27" t="s">
        <v>55</v>
      </c>
      <c r="F12" s="26" t="s">
        <v>64</v>
      </c>
      <c r="G12" s="27" t="s">
        <v>65</v>
      </c>
      <c r="H12" s="27">
        <v>40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ht="12.75" customHeight="1" x14ac:dyDescent="0.25">
      <c r="A13" s="26" t="s">
        <v>61</v>
      </c>
      <c r="B13" s="27" t="s">
        <v>37</v>
      </c>
      <c r="C13" s="28" t="s">
        <v>66</v>
      </c>
      <c r="D13" s="26" t="s">
        <v>5</v>
      </c>
      <c r="E13" s="26" t="s">
        <v>67</v>
      </c>
      <c r="F13" s="26" t="s">
        <v>64</v>
      </c>
      <c r="G13" s="27" t="s">
        <v>68</v>
      </c>
      <c r="H13" s="27">
        <v>60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12.75" customHeight="1" x14ac:dyDescent="0.25">
      <c r="A14" s="26" t="s">
        <v>61</v>
      </c>
      <c r="B14" s="27" t="s">
        <v>37</v>
      </c>
      <c r="C14" s="28" t="s">
        <v>69</v>
      </c>
      <c r="D14" s="26" t="s">
        <v>5</v>
      </c>
      <c r="E14" s="26" t="s">
        <v>37</v>
      </c>
      <c r="F14" s="26" t="s">
        <v>70</v>
      </c>
      <c r="G14" s="27" t="s">
        <v>71</v>
      </c>
      <c r="H14" s="27">
        <v>150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12.75" customHeight="1" x14ac:dyDescent="0.25">
      <c r="A15" s="26" t="s">
        <v>72</v>
      </c>
      <c r="B15" s="27" t="s">
        <v>31</v>
      </c>
      <c r="C15" s="28" t="s">
        <v>73</v>
      </c>
      <c r="D15" s="26" t="s">
        <v>44</v>
      </c>
      <c r="E15" s="26" t="s">
        <v>55</v>
      </c>
      <c r="F15" s="26" t="s">
        <v>64</v>
      </c>
      <c r="G15" s="27" t="s">
        <v>65</v>
      </c>
      <c r="H15" s="27">
        <v>65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ht="12.75" customHeight="1" x14ac:dyDescent="0.25">
      <c r="A16" s="26" t="s">
        <v>74</v>
      </c>
      <c r="B16" s="27" t="s">
        <v>31</v>
      </c>
      <c r="C16" s="28" t="s">
        <v>75</v>
      </c>
      <c r="D16" s="26" t="s">
        <v>49</v>
      </c>
      <c r="E16" s="26" t="s">
        <v>55</v>
      </c>
      <c r="F16" s="26" t="s">
        <v>76</v>
      </c>
      <c r="G16" s="27" t="s">
        <v>77</v>
      </c>
      <c r="H16" s="27">
        <v>20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12.75" customHeight="1" x14ac:dyDescent="0.25">
      <c r="A17" s="26" t="s">
        <v>74</v>
      </c>
      <c r="B17" s="27" t="s">
        <v>31</v>
      </c>
      <c r="C17" s="28" t="s">
        <v>78</v>
      </c>
      <c r="D17" s="26" t="s">
        <v>8</v>
      </c>
      <c r="E17" s="26" t="s">
        <v>8</v>
      </c>
      <c r="F17" s="26" t="s">
        <v>79</v>
      </c>
      <c r="G17" s="27" t="s">
        <v>80</v>
      </c>
      <c r="H17" s="27">
        <v>20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ht="12.75" customHeight="1" x14ac:dyDescent="0.25">
      <c r="A18" s="26" t="s">
        <v>74</v>
      </c>
      <c r="B18" s="27" t="s">
        <v>37</v>
      </c>
      <c r="C18" s="28" t="s">
        <v>81</v>
      </c>
      <c r="D18" s="26" t="s">
        <v>44</v>
      </c>
      <c r="E18" s="26" t="s">
        <v>55</v>
      </c>
      <c r="F18" s="26" t="s">
        <v>64</v>
      </c>
      <c r="G18" s="27" t="s">
        <v>65</v>
      </c>
      <c r="H18" s="27">
        <v>40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12.75" customHeight="1" x14ac:dyDescent="0.25">
      <c r="A19" s="26" t="s">
        <v>82</v>
      </c>
      <c r="B19" s="27" t="s">
        <v>31</v>
      </c>
      <c r="C19" s="28" t="s">
        <v>83</v>
      </c>
      <c r="D19" s="26" t="s">
        <v>5</v>
      </c>
      <c r="E19" s="26" t="s">
        <v>55</v>
      </c>
      <c r="F19" s="26" t="s">
        <v>84</v>
      </c>
      <c r="G19" s="27" t="s">
        <v>85</v>
      </c>
      <c r="H19" s="27">
        <v>100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2.75" customHeight="1" x14ac:dyDescent="0.25">
      <c r="A20" s="26" t="s">
        <v>82</v>
      </c>
      <c r="B20" s="27" t="s">
        <v>31</v>
      </c>
      <c r="C20" s="28" t="s">
        <v>86</v>
      </c>
      <c r="D20" s="26" t="s">
        <v>49</v>
      </c>
      <c r="E20" s="26" t="s">
        <v>55</v>
      </c>
      <c r="F20" s="26" t="s">
        <v>87</v>
      </c>
      <c r="G20" s="29" t="s">
        <v>88</v>
      </c>
      <c r="H20" s="27">
        <v>200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2.75" customHeight="1" x14ac:dyDescent="0.25">
      <c r="A21" s="26" t="s">
        <v>82</v>
      </c>
      <c r="B21" s="27" t="s">
        <v>31</v>
      </c>
      <c r="C21" s="28" t="s">
        <v>89</v>
      </c>
      <c r="D21" s="26" t="s">
        <v>33</v>
      </c>
      <c r="E21" s="26" t="s">
        <v>90</v>
      </c>
      <c r="F21" s="26" t="s">
        <v>91</v>
      </c>
      <c r="G21" s="27" t="s">
        <v>92</v>
      </c>
      <c r="H21" s="27">
        <v>80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ht="12.75" customHeight="1" x14ac:dyDescent="0.25">
      <c r="A22" s="26" t="s">
        <v>82</v>
      </c>
      <c r="B22" s="27" t="s">
        <v>37</v>
      </c>
      <c r="C22" s="28" t="s">
        <v>83</v>
      </c>
      <c r="D22" s="26" t="s">
        <v>5</v>
      </c>
      <c r="E22" s="26" t="s">
        <v>55</v>
      </c>
      <c r="F22" s="26" t="s">
        <v>84</v>
      </c>
      <c r="G22" s="27" t="s">
        <v>85</v>
      </c>
      <c r="H22" s="27">
        <v>90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2" ht="12.75" customHeight="1" x14ac:dyDescent="0.25">
      <c r="A23" s="26" t="s">
        <v>82</v>
      </c>
      <c r="B23" s="27" t="s">
        <v>37</v>
      </c>
      <c r="C23" s="28" t="s">
        <v>89</v>
      </c>
      <c r="D23" s="26" t="s">
        <v>33</v>
      </c>
      <c r="E23" s="26" t="s">
        <v>90</v>
      </c>
      <c r="F23" s="26" t="s">
        <v>91</v>
      </c>
      <c r="G23" s="27" t="s">
        <v>92</v>
      </c>
      <c r="H23" s="27">
        <v>100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22" ht="12.75" customHeight="1" x14ac:dyDescent="0.25">
      <c r="A24" s="26" t="s">
        <v>93</v>
      </c>
      <c r="B24" s="27" t="s">
        <v>31</v>
      </c>
      <c r="C24" s="28" t="s">
        <v>94</v>
      </c>
      <c r="D24" s="26" t="s">
        <v>5</v>
      </c>
      <c r="E24" s="26" t="s">
        <v>41</v>
      </c>
      <c r="F24" s="26" t="s">
        <v>80</v>
      </c>
      <c r="G24" s="27" t="s">
        <v>95</v>
      </c>
      <c r="H24" s="27">
        <v>90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2" ht="12.75" customHeight="1" x14ac:dyDescent="0.25">
      <c r="A25" s="26" t="s">
        <v>93</v>
      </c>
      <c r="B25" s="27" t="s">
        <v>37</v>
      </c>
      <c r="C25" s="28" t="s">
        <v>94</v>
      </c>
      <c r="D25" s="26" t="s">
        <v>5</v>
      </c>
      <c r="E25" s="26" t="s">
        <v>96</v>
      </c>
      <c r="F25" s="26" t="s">
        <v>80</v>
      </c>
      <c r="G25" s="27" t="s">
        <v>95</v>
      </c>
      <c r="H25" s="27">
        <v>40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1:22" ht="12.75" customHeight="1" x14ac:dyDescent="0.25">
      <c r="A26" s="26" t="s">
        <v>97</v>
      </c>
      <c r="B26" s="27" t="s">
        <v>37</v>
      </c>
      <c r="C26" s="28" t="s">
        <v>98</v>
      </c>
      <c r="D26" s="26" t="s">
        <v>33</v>
      </c>
      <c r="E26" s="26" t="s">
        <v>67</v>
      </c>
      <c r="F26" s="26" t="s">
        <v>64</v>
      </c>
      <c r="G26" s="27" t="s">
        <v>99</v>
      </c>
      <c r="H26" s="27">
        <v>20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2.75" customHeight="1" x14ac:dyDescent="0.25">
      <c r="A27" s="26" t="s">
        <v>97</v>
      </c>
      <c r="B27" s="27" t="s">
        <v>37</v>
      </c>
      <c r="C27" s="28" t="s">
        <v>100</v>
      </c>
      <c r="D27" s="26" t="s">
        <v>5</v>
      </c>
      <c r="E27" s="26" t="s">
        <v>37</v>
      </c>
      <c r="F27" s="26" t="s">
        <v>59</v>
      </c>
      <c r="G27" s="27" t="s">
        <v>59</v>
      </c>
      <c r="H27" s="27">
        <v>15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12.75" customHeight="1" x14ac:dyDescent="0.25">
      <c r="A28" s="26" t="s">
        <v>97</v>
      </c>
      <c r="B28" s="27" t="s">
        <v>37</v>
      </c>
      <c r="C28" s="28" t="s">
        <v>100</v>
      </c>
      <c r="D28" s="26" t="s">
        <v>49</v>
      </c>
      <c r="E28" s="26" t="s">
        <v>37</v>
      </c>
      <c r="F28" s="26" t="s">
        <v>59</v>
      </c>
      <c r="G28" s="27" t="s">
        <v>59</v>
      </c>
      <c r="H28" s="27">
        <v>15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ht="12.75" customHeight="1" x14ac:dyDescent="0.25">
      <c r="A29" s="26" t="s">
        <v>101</v>
      </c>
      <c r="B29" s="27" t="s">
        <v>31</v>
      </c>
      <c r="C29" s="28" t="s">
        <v>102</v>
      </c>
      <c r="D29" s="26" t="s">
        <v>103</v>
      </c>
      <c r="E29" s="26" t="s">
        <v>50</v>
      </c>
      <c r="F29" s="26" t="s">
        <v>51</v>
      </c>
      <c r="G29" s="27" t="s">
        <v>104</v>
      </c>
      <c r="H29" s="27">
        <v>70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2" ht="12.75" customHeight="1" x14ac:dyDescent="0.25">
      <c r="A30" s="26" t="s">
        <v>101</v>
      </c>
      <c r="B30" s="27" t="s">
        <v>37</v>
      </c>
      <c r="C30" s="28" t="s">
        <v>105</v>
      </c>
      <c r="D30" s="26" t="s">
        <v>106</v>
      </c>
      <c r="E30" s="26" t="s">
        <v>50</v>
      </c>
      <c r="F30" s="26" t="s">
        <v>51</v>
      </c>
      <c r="G30" s="27" t="s">
        <v>104</v>
      </c>
      <c r="H30" s="27">
        <v>100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ht="12.75" customHeight="1" x14ac:dyDescent="0.25">
      <c r="A31" s="26" t="s">
        <v>101</v>
      </c>
      <c r="B31" s="27" t="s">
        <v>37</v>
      </c>
      <c r="C31" s="28" t="s">
        <v>107</v>
      </c>
      <c r="D31" s="26" t="s">
        <v>5</v>
      </c>
      <c r="E31" s="26" t="s">
        <v>37</v>
      </c>
      <c r="F31" s="26" t="s">
        <v>108</v>
      </c>
      <c r="G31" s="27" t="s">
        <v>109</v>
      </c>
      <c r="H31" s="27">
        <v>40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12.75" customHeight="1" x14ac:dyDescent="0.25">
      <c r="A32" s="26" t="s">
        <v>110</v>
      </c>
      <c r="B32" s="27" t="s">
        <v>37</v>
      </c>
      <c r="C32" s="28" t="s">
        <v>111</v>
      </c>
      <c r="D32" s="26" t="s">
        <v>44</v>
      </c>
      <c r="E32" s="26" t="s">
        <v>37</v>
      </c>
      <c r="F32" s="26" t="s">
        <v>112</v>
      </c>
      <c r="G32" s="27" t="s">
        <v>112</v>
      </c>
      <c r="H32" s="27">
        <v>15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ht="12.75" customHeight="1" x14ac:dyDescent="0.25">
      <c r="A33" s="26" t="s">
        <v>110</v>
      </c>
      <c r="B33" s="27" t="s">
        <v>37</v>
      </c>
      <c r="C33" s="28" t="s">
        <v>113</v>
      </c>
      <c r="D33" s="26" t="s">
        <v>5</v>
      </c>
      <c r="E33" s="26" t="s">
        <v>37</v>
      </c>
      <c r="F33" s="26" t="s">
        <v>70</v>
      </c>
      <c r="G33" s="27" t="s">
        <v>71</v>
      </c>
      <c r="H33" s="27">
        <v>40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2.75" customHeight="1" x14ac:dyDescent="0.25">
      <c r="A34" s="26" t="s">
        <v>114</v>
      </c>
      <c r="B34" s="27" t="s">
        <v>37</v>
      </c>
      <c r="C34" s="28" t="s">
        <v>115</v>
      </c>
      <c r="D34" s="26" t="s">
        <v>44</v>
      </c>
      <c r="E34" s="26" t="s">
        <v>37</v>
      </c>
      <c r="F34" s="26" t="s">
        <v>116</v>
      </c>
      <c r="G34" s="27" t="s">
        <v>117</v>
      </c>
      <c r="H34" s="27">
        <v>210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ht="12.75" customHeight="1" x14ac:dyDescent="0.25">
      <c r="A35" s="26" t="s">
        <v>114</v>
      </c>
      <c r="B35" s="27" t="s">
        <v>37</v>
      </c>
      <c r="C35" s="28" t="s">
        <v>118</v>
      </c>
      <c r="D35" s="26" t="s">
        <v>33</v>
      </c>
      <c r="E35" s="26" t="s">
        <v>37</v>
      </c>
      <c r="F35" s="26" t="s">
        <v>59</v>
      </c>
      <c r="G35" s="27" t="s">
        <v>59</v>
      </c>
      <c r="H35" s="27">
        <v>30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ht="12.75" customHeight="1" x14ac:dyDescent="0.25">
      <c r="A36" s="26" t="s">
        <v>119</v>
      </c>
      <c r="B36" s="27" t="s">
        <v>31</v>
      </c>
      <c r="C36" s="28" t="s">
        <v>120</v>
      </c>
      <c r="D36" s="26" t="s">
        <v>5</v>
      </c>
      <c r="E36" s="26" t="s">
        <v>41</v>
      </c>
      <c r="F36" s="26" t="s">
        <v>121</v>
      </c>
      <c r="G36" s="27" t="s">
        <v>85</v>
      </c>
      <c r="H36" s="27">
        <v>30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ht="12.75" customHeight="1" x14ac:dyDescent="0.25">
      <c r="A37" s="26" t="s">
        <v>122</v>
      </c>
      <c r="B37" s="27" t="s">
        <v>37</v>
      </c>
      <c r="C37" s="28" t="s">
        <v>38</v>
      </c>
      <c r="D37" s="26" t="s">
        <v>33</v>
      </c>
      <c r="E37" s="26" t="s">
        <v>37</v>
      </c>
      <c r="F37" s="26" t="s">
        <v>39</v>
      </c>
      <c r="G37" s="27" t="s">
        <v>39</v>
      </c>
      <c r="H37" s="27">
        <v>30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ht="12.75" customHeight="1" x14ac:dyDescent="0.25">
      <c r="A38" s="26" t="s">
        <v>123</v>
      </c>
      <c r="B38" s="27" t="s">
        <v>31</v>
      </c>
      <c r="C38" s="28" t="s">
        <v>124</v>
      </c>
      <c r="D38" s="26" t="s">
        <v>33</v>
      </c>
      <c r="E38" s="26" t="s">
        <v>31</v>
      </c>
      <c r="F38" s="26" t="s">
        <v>125</v>
      </c>
      <c r="G38" s="27" t="s">
        <v>125</v>
      </c>
      <c r="H38" s="27">
        <v>20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ht="12.75" customHeight="1" x14ac:dyDescent="0.25">
      <c r="A39" s="26" t="s">
        <v>126</v>
      </c>
      <c r="B39" s="27" t="s">
        <v>31</v>
      </c>
      <c r="C39" s="28" t="s">
        <v>127</v>
      </c>
      <c r="D39" s="26" t="s">
        <v>33</v>
      </c>
      <c r="E39" s="26" t="s">
        <v>41</v>
      </c>
      <c r="F39" s="26" t="s">
        <v>128</v>
      </c>
      <c r="G39" s="27" t="s">
        <v>128</v>
      </c>
      <c r="H39" s="27">
        <v>120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ht="12.75" customHeight="1" x14ac:dyDescent="0.25">
      <c r="A40" s="26" t="s">
        <v>126</v>
      </c>
      <c r="B40" s="27" t="s">
        <v>31</v>
      </c>
      <c r="C40" s="28" t="s">
        <v>129</v>
      </c>
      <c r="D40" s="26" t="s">
        <v>49</v>
      </c>
      <c r="E40" s="26" t="s">
        <v>41</v>
      </c>
      <c r="F40" s="26" t="s">
        <v>130</v>
      </c>
      <c r="G40" s="27" t="s">
        <v>88</v>
      </c>
      <c r="H40" s="27">
        <v>120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ht="12.75" customHeight="1" x14ac:dyDescent="0.25">
      <c r="A41" s="26" t="s">
        <v>126</v>
      </c>
      <c r="B41" s="27" t="s">
        <v>37</v>
      </c>
      <c r="C41" s="28" t="s">
        <v>131</v>
      </c>
      <c r="D41" s="26" t="s">
        <v>44</v>
      </c>
      <c r="E41" s="26" t="s">
        <v>37</v>
      </c>
      <c r="F41" s="26" t="s">
        <v>64</v>
      </c>
      <c r="G41" s="27" t="s">
        <v>117</v>
      </c>
      <c r="H41" s="27">
        <v>120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ht="12.75" customHeight="1" x14ac:dyDescent="0.25">
      <c r="A42" s="26" t="s">
        <v>126</v>
      </c>
      <c r="B42" s="27" t="s">
        <v>37</v>
      </c>
      <c r="C42" s="28" t="s">
        <v>132</v>
      </c>
      <c r="D42" s="26" t="s">
        <v>33</v>
      </c>
      <c r="E42" s="26" t="s">
        <v>41</v>
      </c>
      <c r="F42" s="26" t="s">
        <v>59</v>
      </c>
      <c r="G42" s="27" t="s">
        <v>59</v>
      </c>
      <c r="H42" s="27">
        <v>60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ht="12.75" customHeight="1" x14ac:dyDescent="0.25">
      <c r="A43" s="26" t="s">
        <v>126</v>
      </c>
      <c r="B43" s="27" t="s">
        <v>37</v>
      </c>
      <c r="C43" s="28" t="s">
        <v>133</v>
      </c>
      <c r="D43" s="26" t="s">
        <v>33</v>
      </c>
      <c r="E43" s="26" t="s">
        <v>37</v>
      </c>
      <c r="F43" s="26" t="s">
        <v>37</v>
      </c>
      <c r="G43" s="27" t="s">
        <v>134</v>
      </c>
      <c r="H43" s="27">
        <v>20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ht="12.75" customHeight="1" x14ac:dyDescent="0.25">
      <c r="A44" s="26" t="s">
        <v>135</v>
      </c>
      <c r="B44" s="27" t="s">
        <v>31</v>
      </c>
      <c r="C44" s="28" t="s">
        <v>136</v>
      </c>
      <c r="D44" s="26" t="s">
        <v>33</v>
      </c>
      <c r="E44" s="26" t="s">
        <v>41</v>
      </c>
      <c r="F44" s="26" t="s">
        <v>59</v>
      </c>
      <c r="G44" s="27" t="s">
        <v>59</v>
      </c>
      <c r="H44" s="27">
        <v>120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ht="12.75" customHeight="1" x14ac:dyDescent="0.25">
      <c r="A45" s="26" t="s">
        <v>135</v>
      </c>
      <c r="B45" s="27" t="s">
        <v>31</v>
      </c>
      <c r="C45" s="28" t="s">
        <v>137</v>
      </c>
      <c r="D45" s="26" t="s">
        <v>33</v>
      </c>
      <c r="E45" s="26" t="s">
        <v>31</v>
      </c>
      <c r="F45" s="26" t="s">
        <v>59</v>
      </c>
      <c r="G45" s="27" t="s">
        <v>59</v>
      </c>
      <c r="H45" s="27">
        <v>100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22" ht="12.75" customHeight="1" x14ac:dyDescent="0.25">
      <c r="A46" s="26" t="s">
        <v>135</v>
      </c>
      <c r="B46" s="27" t="s">
        <v>31</v>
      </c>
      <c r="C46" s="28" t="s">
        <v>138</v>
      </c>
      <c r="D46" s="26" t="s">
        <v>49</v>
      </c>
      <c r="E46" s="26" t="s">
        <v>41</v>
      </c>
      <c r="F46" s="26" t="s">
        <v>42</v>
      </c>
      <c r="G46" s="27" t="s">
        <v>42</v>
      </c>
      <c r="H46" s="27">
        <v>41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ht="12.75" customHeight="1" x14ac:dyDescent="0.25">
      <c r="A47" s="26" t="s">
        <v>135</v>
      </c>
      <c r="B47" s="27" t="s">
        <v>31</v>
      </c>
      <c r="C47" s="28" t="s">
        <v>139</v>
      </c>
      <c r="D47" s="26" t="s">
        <v>5</v>
      </c>
      <c r="E47" s="26" t="s">
        <v>55</v>
      </c>
      <c r="F47" s="26" t="s">
        <v>140</v>
      </c>
      <c r="G47" s="27" t="s">
        <v>56</v>
      </c>
      <c r="H47" s="27">
        <v>20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2.75" customHeight="1" x14ac:dyDescent="0.25">
      <c r="A48" s="26" t="s">
        <v>135</v>
      </c>
      <c r="B48" s="27" t="s">
        <v>37</v>
      </c>
      <c r="C48" s="28" t="s">
        <v>141</v>
      </c>
      <c r="D48" s="26" t="s">
        <v>33</v>
      </c>
      <c r="E48" s="26" t="s">
        <v>41</v>
      </c>
      <c r="F48" s="26" t="s">
        <v>59</v>
      </c>
      <c r="G48" s="27" t="s">
        <v>59</v>
      </c>
      <c r="H48" s="27">
        <v>80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12.75" customHeight="1" x14ac:dyDescent="0.25">
      <c r="A49" s="26" t="s">
        <v>135</v>
      </c>
      <c r="B49" s="27" t="s">
        <v>37</v>
      </c>
      <c r="C49" s="28" t="s">
        <v>137</v>
      </c>
      <c r="D49" s="26" t="s">
        <v>33</v>
      </c>
      <c r="E49" s="26" t="s">
        <v>37</v>
      </c>
      <c r="F49" s="26" t="s">
        <v>59</v>
      </c>
      <c r="G49" s="27" t="s">
        <v>59</v>
      </c>
      <c r="H49" s="27">
        <v>90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spans="1:22" ht="12.75" customHeight="1" x14ac:dyDescent="0.25">
      <c r="A50" s="26" t="s">
        <v>142</v>
      </c>
      <c r="B50" s="27" t="s">
        <v>31</v>
      </c>
      <c r="C50" s="28" t="s">
        <v>38</v>
      </c>
      <c r="D50" s="26" t="s">
        <v>33</v>
      </c>
      <c r="E50" s="26" t="s">
        <v>31</v>
      </c>
      <c r="F50" s="26" t="s">
        <v>39</v>
      </c>
      <c r="G50" s="27" t="s">
        <v>39</v>
      </c>
      <c r="H50" s="27">
        <v>30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ht="12.75" customHeight="1" x14ac:dyDescent="0.25">
      <c r="A51" s="26" t="s">
        <v>142</v>
      </c>
      <c r="B51" s="27" t="s">
        <v>37</v>
      </c>
      <c r="C51" s="28" t="s">
        <v>143</v>
      </c>
      <c r="D51" s="26" t="s">
        <v>5</v>
      </c>
      <c r="E51" s="26" t="s">
        <v>37</v>
      </c>
      <c r="F51" s="26" t="s">
        <v>59</v>
      </c>
      <c r="G51" s="27" t="s">
        <v>144</v>
      </c>
      <c r="H51" s="27">
        <v>20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ht="12.75" customHeight="1" x14ac:dyDescent="0.25">
      <c r="A52" s="26" t="s">
        <v>145</v>
      </c>
      <c r="B52" s="27" t="s">
        <v>37</v>
      </c>
      <c r="C52" s="28" t="s">
        <v>38</v>
      </c>
      <c r="D52" s="26" t="s">
        <v>33</v>
      </c>
      <c r="E52" s="26" t="s">
        <v>37</v>
      </c>
      <c r="F52" s="26" t="s">
        <v>39</v>
      </c>
      <c r="G52" s="27" t="s">
        <v>39</v>
      </c>
      <c r="H52" s="27">
        <v>20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ht="12.75" customHeight="1" x14ac:dyDescent="0.25">
      <c r="A53" s="26" t="s">
        <v>146</v>
      </c>
      <c r="B53" s="27" t="s">
        <v>37</v>
      </c>
      <c r="C53" s="28" t="s">
        <v>147</v>
      </c>
      <c r="D53" s="26" t="s">
        <v>5</v>
      </c>
      <c r="E53" s="26" t="s">
        <v>37</v>
      </c>
      <c r="F53" s="26" t="s">
        <v>125</v>
      </c>
      <c r="G53" s="27" t="s">
        <v>125</v>
      </c>
      <c r="H53" s="27">
        <v>15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ht="12.7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ht="12.7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ht="12.75" customHeigh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ht="12.7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ht="12.7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ht="12.7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2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ht="12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ht="12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ht="12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ht="12.75" customHeigh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2.7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ht="12.7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ht="12.7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ht="12.75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ht="12.7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ht="12.7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ht="12.7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ht="12.75" customHeight="1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ht="12.75" customHeight="1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ht="12.75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ht="12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2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2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ht="12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ht="12.7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ht="12.7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2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2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2.7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2.7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2.7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2.75" customHeigh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2.7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2.7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2.7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2.7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2.7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2.7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2.7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2.75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2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2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2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2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2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2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2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2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2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2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2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2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2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2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2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2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2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2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2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2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spans="1:22" ht="12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ht="12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spans="1:22" ht="12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ht="12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spans="1:22" ht="12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spans="1:22" ht="12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spans="1:22" ht="12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spans="1:22" ht="12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spans="1:22" ht="12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1:22" ht="12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1:22" ht="12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spans="1:22" ht="12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spans="1:22" ht="12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spans="1:22" ht="12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spans="1:22" ht="12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spans="1:22" ht="12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spans="1:22" ht="12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spans="1:22" ht="12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spans="1:22" ht="12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spans="1:22" ht="12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spans="1:22" ht="12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spans="1:22" ht="12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spans="1:22" ht="12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spans="1:22" ht="12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spans="1:22" ht="12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spans="1:22" ht="12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spans="1:22" ht="12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spans="1:22" ht="12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spans="1:22" ht="12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spans="1:22" ht="12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spans="1:22" ht="12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spans="1:22" ht="12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spans="1:22" ht="12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2" ht="12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spans="1:22" ht="12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spans="1:22" ht="12.7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spans="1:22" ht="12.7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1:22" ht="12.7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spans="1:22" ht="12.7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spans="1:22" ht="12.7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spans="1:22" ht="12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2" ht="12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spans="1:22" ht="12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spans="1:22" ht="12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spans="1:22" ht="12.7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spans="1:22" ht="12.7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spans="1:22" ht="12.75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spans="1:22" ht="12.75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spans="1:22" ht="12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spans="1:22" ht="12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spans="1:22" ht="12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spans="1:22" ht="12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spans="1:22" ht="12.75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spans="1:22" ht="12.75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spans="1:22" ht="12.75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spans="1:22" ht="12.75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spans="1:22" ht="12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spans="1:22" ht="12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spans="1:22" ht="12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spans="1:22" ht="12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spans="1:22" ht="12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spans="1:22" ht="12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spans="1:22" ht="12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spans="1:22" ht="12.75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spans="1:22" ht="12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spans="1:22" ht="12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spans="1:22" ht="12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2" ht="12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spans="1:22" ht="12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spans="1:22" ht="12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spans="1:22" ht="12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spans="1:22" ht="12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ht="12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ht="12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ht="12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ht="12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spans="1:22" ht="12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spans="1:22" ht="12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spans="1:22" ht="12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spans="1:22" ht="12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1:22" ht="12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spans="1:22" ht="12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spans="1:22" ht="12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spans="1:22" ht="12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spans="1:22" ht="12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spans="1:22" ht="12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spans="1:22" ht="12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spans="1:22" ht="12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spans="1:22" ht="12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spans="1:22" ht="12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spans="1:22" ht="12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spans="1:22" ht="12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spans="1:22" ht="12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spans="1:22" ht="12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spans="1:22" ht="12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spans="1:22" ht="12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spans="1:22" ht="12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spans="1:22" ht="12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spans="1:22" ht="12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spans="1:22" ht="12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spans="1:22" ht="12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spans="1:22" ht="12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spans="1:22" ht="12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spans="1:22" ht="12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spans="1:22" ht="12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spans="1:22" ht="12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spans="1:22" ht="12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spans="1:22" ht="12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spans="1:22" ht="12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spans="1:22" ht="12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spans="1:22" ht="12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spans="1:22" ht="12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spans="1:22" ht="12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spans="1:22" ht="12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spans="1:22" ht="12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spans="1:22" ht="12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spans="1:22" ht="12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spans="1:22" ht="12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spans="1:22" ht="12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spans="1:22" ht="12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spans="1:22" ht="12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spans="1:22" ht="12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spans="1:22" ht="12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spans="1:22" ht="12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spans="1:22" ht="12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spans="1:22" ht="12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spans="1:22" ht="12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spans="1:22" ht="12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spans="1:22" ht="12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spans="1:22" ht="12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spans="1:22" ht="12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spans="1:22" ht="12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spans="1:22" ht="12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spans="1:22" ht="12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spans="1:22" ht="12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spans="1:22" ht="12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spans="1:22" ht="12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spans="1:22" ht="12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spans="1:22" ht="12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spans="1:22" ht="12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spans="1:22" ht="12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spans="1:22" ht="12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spans="1:22" ht="12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spans="1:22" ht="12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spans="1:22" ht="12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spans="1:22" ht="12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spans="1:22" ht="12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spans="1:22" ht="12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spans="1:22" ht="12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spans="1:22" ht="12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spans="1:22" ht="12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spans="1:22" ht="12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spans="1:22" ht="12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spans="1:22" ht="12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spans="1:22" ht="12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spans="1:22" ht="12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spans="1:22" ht="12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spans="1:22" ht="12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spans="1:22" ht="12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spans="1:22" ht="12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spans="1:22" ht="12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spans="1:22" ht="12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spans="1:22" ht="12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spans="1:22" ht="12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spans="1:22" ht="12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spans="1:22" ht="12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spans="1:22" ht="12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spans="1:22" ht="12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spans="1:22" ht="12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spans="1:22" ht="12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spans="1:22" ht="12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spans="1:22" ht="12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spans="1:22" ht="12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spans="1:22" ht="12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spans="1:22" ht="12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spans="1:22" ht="12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spans="1:22" ht="12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spans="1:22" ht="12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spans="1:22" ht="12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spans="1:22" ht="12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spans="1:22" ht="12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spans="1:22" ht="12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spans="1:22" ht="12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spans="1:22" ht="12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spans="1:22" ht="12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spans="1:22" ht="12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spans="1:22" ht="12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spans="1:22" ht="12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spans="1:22" ht="12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spans="1:22" ht="12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spans="1:22" ht="12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spans="1:22" ht="12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spans="1:22" ht="12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spans="1:22" ht="12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spans="1:22" ht="12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spans="1:22" ht="12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spans="1:22" ht="12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spans="1:22" ht="12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spans="1:22" ht="12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spans="1:22" ht="12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spans="1:22" ht="12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spans="1:22" ht="12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spans="1:22" ht="12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spans="1:22" ht="12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spans="1:22" ht="12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spans="1:22" ht="12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spans="1:22" ht="12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spans="1:22" ht="12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spans="1:22" ht="12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spans="1:22" ht="12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spans="1:22" ht="12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spans="1:22" ht="12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spans="1:22" ht="12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spans="1:22" ht="12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spans="1:22" ht="12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spans="1:22" ht="12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spans="1:22" ht="12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spans="1:22" ht="12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spans="1:22" ht="12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spans="1:22" ht="12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spans="1:22" ht="12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spans="1:22" ht="12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spans="1:22" ht="12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spans="1:22" ht="12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spans="1:22" ht="12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spans="1:22" ht="12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spans="1:22" ht="12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spans="1:22" ht="12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spans="1:22" ht="12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spans="1:22" ht="12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spans="1:22" ht="12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spans="1:22" ht="12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spans="1:22" ht="12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spans="1:22" ht="12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spans="1:22" ht="12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spans="1:22" ht="12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spans="1:22" ht="12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spans="1:22" ht="12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spans="1:22" ht="12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spans="1:22" ht="12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spans="1:22" ht="12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spans="1:22" ht="12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spans="1:22" ht="12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spans="1:22" ht="12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spans="1:22" ht="12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spans="1:22" ht="12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spans="1:22" ht="12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spans="1:22" ht="12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spans="1:22" ht="12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spans="1:22" ht="12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spans="1:22" ht="12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spans="1:22" ht="12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spans="1:22" ht="12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spans="1:22" ht="12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spans="1:22" ht="12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spans="1:22" ht="12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spans="1:22" ht="12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spans="1:22" ht="12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spans="1:22" ht="12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spans="1:22" ht="12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spans="1:22" ht="12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spans="1:22" ht="12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spans="1:22" ht="12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spans="1:22" ht="12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spans="1:22" ht="12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spans="1:22" ht="12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spans="1:22" ht="12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spans="1:22" ht="12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spans="1:22" ht="12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spans="1:22" ht="12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spans="1:22" ht="12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spans="1:22" ht="12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spans="1:22" ht="12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spans="1:22" ht="12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spans="1:22" ht="12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spans="1:22" ht="12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spans="1:22" ht="12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spans="1:22" ht="12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spans="1:22" ht="12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spans="1:22" ht="12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spans="1:22" ht="12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spans="1:22" ht="12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spans="1:22" ht="12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spans="1:22" ht="12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spans="1:22" ht="12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spans="1:22" ht="12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spans="1:22" ht="12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spans="1:22" ht="12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spans="1:22" ht="12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spans="1:22" ht="12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spans="1:22" ht="12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spans="1:22" ht="12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spans="1:22" ht="12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spans="1:22" ht="12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spans="1:22" ht="12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spans="1:22" ht="12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spans="1:22" ht="12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spans="1:22" ht="12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spans="1:22" ht="12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spans="1:22" ht="12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spans="1:22" ht="12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spans="1:22" ht="12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spans="1:22" ht="12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spans="1:22" ht="12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spans="1:22" ht="12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spans="1:22" ht="12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spans="1:22" ht="12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spans="1:22" ht="12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spans="1:22" ht="12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spans="1:22" ht="12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spans="1:22" ht="12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spans="1:22" ht="12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spans="1:22" ht="12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spans="1:22" ht="12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spans="1:22" ht="12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spans="1:22" ht="12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spans="1:22" ht="12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spans="1:22" ht="12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spans="1:22" ht="12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spans="1:22" ht="12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spans="1:22" ht="12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spans="1:22" ht="12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spans="1:22" ht="12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spans="1:22" ht="12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spans="1:22" ht="12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spans="1:22" ht="12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spans="1:22" ht="12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spans="1:22" ht="12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spans="1:22" ht="12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spans="1:22" ht="12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spans="1:22" ht="12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spans="1:22" ht="12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spans="1:22" ht="12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spans="1:22" ht="12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spans="1:22" ht="12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spans="1:22" ht="12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spans="1:22" ht="12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spans="1:22" ht="12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spans="1:22" ht="12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spans="1:22" ht="12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spans="1:22" ht="12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spans="1:22" ht="12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spans="1:22" ht="12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spans="1:22" ht="12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spans="1:22" ht="12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spans="1:22" ht="12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spans="1:22" ht="12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spans="1:22" ht="12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spans="1:22" ht="12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spans="1:22" ht="12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spans="1:22" ht="12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spans="1:22" ht="12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spans="1:22" ht="12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spans="1:22" ht="12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spans="1:22" ht="12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spans="1:22" ht="12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spans="1:22" ht="12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spans="1:22" ht="12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spans="1:22" ht="12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spans="1:22" ht="12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spans="1:22" ht="12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spans="1:22" ht="12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spans="1:22" ht="12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spans="1:22" ht="12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spans="1:22" ht="12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spans="1:22" ht="12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spans="1:22" ht="12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spans="1:22" ht="12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spans="1:22" ht="12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spans="1:22" ht="12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spans="1:22" ht="12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spans="1:22" ht="12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1:22" ht="12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spans="1:22" ht="12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spans="1:22" ht="12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spans="1:22" ht="12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spans="1:22" ht="12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spans="1:22" ht="12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spans="1:22" ht="12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spans="1:22" ht="12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spans="1:22" ht="12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spans="1:22" ht="12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spans="1:22" ht="12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spans="1:22" ht="12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spans="1:22" ht="12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spans="1:22" ht="12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spans="1:22" ht="12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spans="1:22" ht="12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spans="1:22" ht="12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spans="1:22" ht="12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spans="1:22" ht="12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spans="1:22" ht="12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spans="1:22" ht="12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spans="1:22" ht="12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spans="1:22" ht="12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spans="1:22" ht="12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spans="1:22" ht="12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spans="1:22" ht="12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spans="1:22" ht="12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spans="1:22" ht="12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spans="1:22" ht="12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spans="1:22" ht="12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spans="1:22" ht="12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spans="1:22" ht="12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spans="1:22" ht="12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spans="1:22" ht="12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spans="1:22" ht="12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spans="1:22" ht="12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spans="1:22" ht="12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spans="1:22" ht="12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spans="1:22" ht="12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spans="1:22" ht="12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spans="1:22" ht="12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spans="1:22" ht="12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spans="1:22" ht="12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spans="1:22" ht="12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spans="1:22" ht="12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spans="1:22" ht="12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spans="1:22" ht="12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spans="1:22" ht="12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spans="1:22" ht="12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spans="1:22" ht="12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spans="1:22" ht="12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spans="1:22" ht="12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spans="1:22" ht="12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spans="1:22" ht="12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spans="1:22" ht="12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spans="1:22" ht="12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spans="1:22" ht="12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spans="1:22" ht="12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spans="1:22" ht="12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spans="1:22" ht="12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spans="1:22" ht="12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spans="1:22" ht="12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spans="1:22" ht="12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spans="1:22" ht="12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spans="1:22" ht="12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spans="1:22" ht="12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spans="1:22" ht="12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spans="1:22" ht="12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spans="1:22" ht="12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spans="1:22" ht="12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spans="1:22" ht="12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spans="1:22" ht="12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spans="1:22" ht="12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spans="1:22" ht="12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spans="1:22" ht="12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spans="1:22" ht="12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spans="1:22" ht="12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spans="1:22" ht="12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spans="1:22" ht="12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spans="1:22" ht="12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spans="1:22" ht="12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spans="1:22" ht="12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spans="1:22" ht="12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spans="1:22" ht="12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spans="1:22" ht="12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spans="1:22" ht="12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spans="1:22" ht="12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spans="1:22" ht="12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spans="1:22" ht="12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spans="1:22" ht="12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spans="1:22" ht="12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spans="1:22" ht="12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spans="1:22" ht="12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spans="1:22" ht="12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spans="1:22" ht="12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spans="1:22" ht="12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spans="1:22" ht="12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spans="1:22" ht="12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spans="1:22" ht="12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spans="1:22" ht="12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spans="1:22" ht="12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spans="1:22" ht="12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spans="1:22" ht="12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spans="1:22" ht="12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spans="1:22" ht="12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spans="1:22" ht="12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spans="1:22" ht="12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spans="1:22" ht="12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spans="1:22" ht="12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spans="1:22" ht="12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spans="1:22" ht="12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spans="1:22" ht="12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spans="1:22" ht="12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spans="1:22" ht="12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spans="1:22" ht="12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spans="1:22" ht="12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spans="1:22" ht="12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spans="1:22" ht="12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spans="1:22" ht="12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spans="1:22" ht="12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spans="1:22" ht="12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spans="1:22" ht="12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spans="1:22" ht="12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spans="1:22" ht="12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spans="1:22" ht="12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spans="1:22" ht="12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spans="1:22" ht="12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spans="1:22" ht="12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spans="1:22" ht="12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spans="1:22" ht="12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spans="1:22" ht="12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spans="1:22" ht="12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spans="1:22" ht="12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spans="1:22" ht="12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spans="1:22" ht="12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spans="1:22" ht="12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spans="1:22" ht="12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spans="1:22" ht="12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spans="1:22" ht="12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spans="1:22" ht="12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spans="1:22" ht="12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spans="1:22" ht="12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spans="1:22" ht="12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spans="1:22" ht="12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spans="1:22" ht="12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spans="1:22" ht="12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spans="1:22" ht="12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spans="1:22" ht="12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spans="1:22" ht="12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spans="1:22" ht="12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spans="1:22" ht="12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spans="1:22" ht="12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spans="1:22" ht="12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spans="1:22" ht="12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spans="1:22" ht="12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spans="1:22" ht="12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spans="1:22" ht="12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spans="1:22" ht="12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spans="1:22" ht="12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spans="1:22" ht="12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spans="1:22" ht="12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spans="1:22" ht="12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spans="1:22" ht="12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spans="1:22" ht="12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spans="1:22" ht="12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spans="1:22" ht="12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spans="1:22" ht="12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spans="1:22" ht="12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spans="1:22" ht="12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spans="1:22" ht="12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spans="1:22" ht="12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spans="1:22" ht="12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spans="1:22" ht="12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spans="1:22" ht="12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spans="1:22" ht="12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spans="1:22" ht="12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spans="1:22" ht="12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spans="1:22" ht="12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spans="1:22" ht="12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spans="1:22" ht="12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spans="1:22" ht="12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spans="1:22" ht="12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spans="1:22" ht="12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spans="1:22" ht="12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spans="1:22" ht="12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spans="1:22" ht="12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spans="1:22" ht="12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spans="1:22" ht="12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spans="1:22" ht="12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spans="1:22" ht="12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spans="1:22" ht="12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spans="1:22" ht="12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spans="1:22" ht="12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spans="1:22" ht="12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spans="1:22" ht="12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spans="1:22" ht="12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spans="1:22" ht="12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spans="1:22" ht="12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spans="1:22" ht="12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spans="1:22" ht="12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spans="1:22" ht="12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spans="1:22" ht="12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spans="1:22" ht="12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spans="1:22" ht="12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spans="1:22" ht="12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spans="1:22" ht="12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spans="1:22" ht="12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spans="1:22" ht="12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spans="1:22" ht="12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spans="1:22" ht="12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spans="1:22" ht="12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spans="1:22" ht="12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spans="1:22" ht="12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spans="1:22" ht="12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spans="1:22" ht="12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spans="1:22" ht="12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spans="1:22" ht="12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spans="1:22" ht="12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spans="1:22" ht="12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spans="1:22" ht="12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spans="1:22" ht="12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spans="1:22" ht="12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spans="1:22" ht="12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spans="1:22" ht="12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spans="1:22" ht="12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spans="1:22" ht="12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spans="1:22" ht="12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spans="1:22" ht="12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spans="1:22" ht="12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spans="1:22" ht="12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spans="1:22" ht="12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spans="1:22" ht="12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spans="1:22" ht="12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spans="1:22" ht="12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spans="1:22" ht="12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spans="1:22" ht="12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spans="1:22" ht="12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spans="1:22" ht="12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spans="1:22" ht="12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spans="1:22" ht="12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spans="1:22" ht="12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spans="1:22" ht="12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spans="1:22" ht="12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spans="1:22" ht="12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spans="1:22" ht="12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spans="1:22" ht="12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spans="1:22" ht="12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spans="1:22" ht="12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spans="1:22" ht="12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spans="1:22" ht="12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spans="1:22" ht="12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spans="1:22" ht="12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spans="1:22" ht="12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spans="1:22" ht="12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spans="1:22" ht="12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spans="1:22" ht="12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spans="1:22" ht="12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spans="1:22" ht="12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spans="1:22" ht="12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spans="1:22" ht="12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spans="1:22" ht="12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spans="1:22" ht="12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spans="1:22" ht="12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spans="1:22" ht="12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spans="1:22" ht="12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spans="1:22" ht="12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spans="1:22" ht="12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spans="1:22" ht="12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spans="1:22" ht="12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spans="1:22" ht="12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spans="1:22" ht="12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spans="1:22" ht="12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spans="1:22" ht="12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spans="1:22" ht="12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spans="1:22" ht="12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spans="1:22" ht="12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spans="1:22" ht="12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spans="1:22" ht="12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spans="1:22" ht="12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spans="1:22" ht="12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spans="1:22" ht="12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spans="1:22" ht="12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spans="1:22" ht="12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spans="1:22" ht="12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spans="1:22" ht="12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spans="1:22" ht="12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spans="1:22" ht="12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spans="1:22" ht="12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spans="1:22" ht="12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spans="1:22" ht="12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spans="1:22" ht="12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spans="1:22" ht="12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spans="1:22" ht="12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spans="1:22" ht="12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spans="1:22" ht="12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spans="1:22" ht="12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spans="1:22" ht="12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spans="1:22" ht="12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spans="1:22" ht="12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spans="1:22" ht="12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spans="1:22" ht="12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spans="1:22" ht="12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spans="1:22" ht="12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spans="1:22" ht="12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spans="1:22" ht="12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spans="1:22" ht="12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spans="1:22" ht="12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spans="1:22" ht="12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spans="1:22" ht="12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spans="1:22" ht="12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spans="1:22" ht="12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spans="1:22" ht="12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spans="1:22" ht="12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spans="1:22" ht="12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spans="1:22" ht="12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spans="1:22" ht="12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spans="1:22" ht="12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spans="1:22" ht="12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spans="1:22" ht="12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spans="1:22" ht="12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spans="1:22" ht="12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spans="1:22" ht="12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spans="1:22" ht="12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spans="1:22" ht="12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spans="1:22" ht="12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spans="1:22" ht="12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spans="1:22" ht="12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spans="1:22" ht="12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spans="1:22" ht="12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spans="1:22" ht="12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spans="1:22" ht="12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spans="1:22" ht="12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spans="1:22" ht="12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spans="1:22" ht="12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spans="1:22" ht="12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spans="1:22" ht="12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spans="1:22" ht="12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spans="1:22" ht="12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spans="1:22" ht="12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spans="1:22" ht="12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spans="1:22" ht="12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spans="1:22" ht="12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spans="1:22" ht="12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spans="1:22" ht="12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spans="1:22" ht="12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spans="1:22" ht="12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spans="1:22" ht="12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spans="1:22" ht="12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spans="1:22" ht="12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spans="1:22" ht="12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spans="1:22" ht="12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spans="1:22" ht="12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spans="1:22" ht="12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spans="1:22" ht="12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spans="1:22" ht="12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spans="1:22" ht="12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spans="1:22" ht="12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spans="1:22" ht="12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spans="1:22" ht="12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spans="1:22" ht="12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spans="1:22" ht="12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spans="1:22" ht="12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spans="1:22" ht="12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spans="1:22" ht="12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spans="1:22" ht="12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spans="1:22" ht="12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spans="1:22" ht="12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spans="1:22" ht="12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spans="1:22" ht="12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spans="1:22" ht="12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spans="1:22" ht="12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spans="1:22" ht="12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spans="1:22" ht="12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spans="1:22" ht="12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spans="1:22" ht="12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spans="1:22" ht="12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spans="1:22" ht="12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spans="1:22" ht="12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spans="1:22" ht="12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spans="1:22" ht="12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spans="1:22" ht="12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spans="1:22" ht="12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spans="1:22" ht="12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spans="1:22" ht="12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spans="1:22" ht="12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spans="1:22" ht="12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spans="1:22" ht="12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spans="1:22" ht="12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spans="1:22" ht="12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spans="1:22" ht="12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spans="1:22" ht="12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spans="1:22" ht="12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spans="1:22" ht="12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spans="1:22" ht="12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spans="1:22" ht="12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spans="1:22" ht="12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spans="1:22" ht="12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spans="1:22" ht="12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spans="1:22" ht="12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spans="1:22" ht="12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spans="1:22" ht="12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spans="1:22" ht="12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spans="1:22" ht="12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spans="1:22" ht="12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spans="1:22" ht="12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spans="1:22" ht="12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spans="1:22" ht="12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spans="1:22" ht="12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spans="1:22" ht="12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spans="1:22" ht="12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spans="1:22" ht="12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spans="1:22" ht="12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spans="1:22" ht="12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spans="1:22" ht="12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spans="1:22" ht="12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spans="1:22" ht="12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spans="1:22" ht="12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spans="1:22" ht="12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spans="1:22" ht="12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spans="1:22" ht="12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spans="1:22" ht="12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spans="1:22" ht="12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spans="1:22" ht="12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spans="1:22" ht="12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spans="1:22" ht="12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spans="1:22" ht="12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spans="1:22" ht="12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spans="1:22" ht="12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spans="1:22" ht="12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spans="1:22" ht="12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spans="1:22" ht="12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spans="1:22" ht="12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spans="1:22" ht="12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spans="1:22" ht="12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spans="1:22" ht="12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spans="1:22" ht="12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spans="1:22" ht="12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spans="1:22" ht="12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spans="1:22" ht="12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spans="1:22" ht="12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spans="1:22" ht="12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spans="1:22" ht="12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spans="1:22" ht="12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spans="1:22" ht="12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spans="1:22" ht="12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spans="1:22" ht="12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spans="1:22" ht="12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spans="1:22" ht="12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spans="1:22" ht="12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spans="1:22" ht="12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spans="1:22" ht="12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spans="1:22" ht="12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spans="1:22" ht="12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spans="1:22" ht="12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spans="1:22" ht="12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spans="1:22" ht="12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spans="1:22" ht="12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spans="1:22" ht="12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spans="1:22" ht="12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spans="1:22" ht="12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spans="1:22" ht="12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spans="1:22" ht="12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spans="1:22" ht="12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spans="1:22" ht="12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spans="1:22" ht="12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spans="1:22" ht="12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spans="1:22" ht="12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spans="1:22" ht="12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spans="1:22" ht="12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spans="1:22" ht="12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spans="1:22" ht="12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spans="1:22" ht="12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spans="1:22" ht="12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spans="1:22" ht="12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spans="1:22" ht="12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spans="1:22" ht="12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spans="1:22" ht="12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spans="1:22" ht="12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spans="1:22" ht="12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spans="1:22" ht="12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spans="1:22" ht="12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spans="1:22" ht="12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spans="1:22" ht="12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spans="1:22" ht="12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spans="1:22" ht="12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spans="1:22" ht="12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spans="1:22" ht="12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spans="1:22" ht="12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spans="1:22" ht="12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spans="1:22" ht="12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spans="1:22" ht="12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spans="1:22" ht="12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spans="1:22" ht="12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spans="1:22" ht="12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spans="1:22" ht="12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spans="1:22" ht="12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spans="1:22" ht="12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spans="1:22" ht="12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spans="1:22" ht="12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spans="1:22" ht="12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spans="1:22" ht="12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spans="1:22" ht="12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spans="1:22" ht="12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spans="1:22" ht="12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spans="1:22" ht="12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spans="1:22" ht="12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spans="1:22" ht="12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spans="1:22" ht="12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spans="1:22" ht="12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spans="1:22" ht="12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spans="1:22" ht="12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spans="1:22" ht="12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spans="1:22" ht="12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spans="1:22" ht="12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5"/>
  <sheetViews>
    <sheetView topLeftCell="A39" workbookViewId="0">
      <selection activeCell="L44" sqref="L44"/>
    </sheetView>
  </sheetViews>
  <sheetFormatPr defaultColWidth="14.42578125" defaultRowHeight="15" customHeight="1" x14ac:dyDescent="0.25"/>
  <cols>
    <col min="1" max="1" width="3.85546875" customWidth="1"/>
    <col min="2" max="2" width="3.42578125" customWidth="1"/>
    <col min="3" max="3" width="7.7109375" customWidth="1"/>
    <col min="4" max="4" width="23" customWidth="1"/>
    <col min="5" max="5" width="14.5703125" customWidth="1"/>
    <col min="6" max="6" width="22.140625" customWidth="1"/>
    <col min="7" max="7" width="21.42578125" customWidth="1"/>
    <col min="8" max="8" width="13.140625" customWidth="1"/>
    <col min="9" max="9" width="13.7109375" customWidth="1"/>
    <col min="10" max="10" width="20.7109375" customWidth="1"/>
    <col min="11" max="11" width="10.85546875" customWidth="1"/>
    <col min="12" max="12" width="15.7109375" customWidth="1"/>
    <col min="13" max="26" width="8.7109375" customWidth="1"/>
  </cols>
  <sheetData>
    <row r="1" spans="1:26" ht="12.75" customHeight="1" x14ac:dyDescent="0.25">
      <c r="A1" s="20"/>
      <c r="B1" s="20"/>
      <c r="C1" s="20"/>
      <c r="D1" s="20"/>
      <c r="E1" s="30"/>
      <c r="F1" s="3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20"/>
      <c r="B2" s="20"/>
      <c r="C2" s="32" t="s">
        <v>148</v>
      </c>
      <c r="D2" s="33" t="s">
        <v>149</v>
      </c>
      <c r="E2" s="33" t="s">
        <v>150</v>
      </c>
      <c r="F2" s="33" t="s">
        <v>151</v>
      </c>
      <c r="G2" s="33" t="s">
        <v>152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25">
      <c r="A3" s="20"/>
      <c r="B3" s="20"/>
      <c r="C3" s="27">
        <v>1</v>
      </c>
      <c r="D3" s="27" t="s">
        <v>37</v>
      </c>
      <c r="E3" s="27">
        <v>920</v>
      </c>
      <c r="F3" s="27">
        <v>920</v>
      </c>
      <c r="G3" s="34">
        <f t="shared" ref="G3:G11" si="0">F3/$F$11</f>
        <v>0.28342575477510784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25">
      <c r="A4" s="20"/>
      <c r="B4" s="20"/>
      <c r="C4" s="27">
        <v>2</v>
      </c>
      <c r="D4" s="27" t="s">
        <v>41</v>
      </c>
      <c r="E4" s="27">
        <v>871</v>
      </c>
      <c r="F4" s="27">
        <f t="shared" ref="F4:F11" si="1">F3+E4</f>
        <v>1791</v>
      </c>
      <c r="G4" s="34">
        <f t="shared" si="0"/>
        <v>0.55175600739371533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5">
      <c r="A5" s="20"/>
      <c r="B5" s="20"/>
      <c r="C5" s="27">
        <v>3</v>
      </c>
      <c r="D5" s="27" t="s">
        <v>55</v>
      </c>
      <c r="E5" s="27">
        <v>605</v>
      </c>
      <c r="F5" s="27">
        <f t="shared" si="1"/>
        <v>2396</v>
      </c>
      <c r="G5" s="34">
        <f t="shared" si="0"/>
        <v>0.73813924830560695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5">
      <c r="A6" s="20"/>
      <c r="B6" s="20"/>
      <c r="C6" s="27">
        <v>4</v>
      </c>
      <c r="D6" s="27" t="s">
        <v>50</v>
      </c>
      <c r="E6" s="27">
        <v>270</v>
      </c>
      <c r="F6" s="27">
        <f t="shared" si="1"/>
        <v>2666</v>
      </c>
      <c r="G6" s="34">
        <f t="shared" si="0"/>
        <v>0.82131854590264941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5">
      <c r="A7" s="20"/>
      <c r="B7" s="20"/>
      <c r="C7" s="27">
        <v>5</v>
      </c>
      <c r="D7" s="27" t="s">
        <v>90</v>
      </c>
      <c r="E7" s="27">
        <v>180</v>
      </c>
      <c r="F7" s="27">
        <f t="shared" si="1"/>
        <v>2846</v>
      </c>
      <c r="G7" s="34">
        <f t="shared" si="0"/>
        <v>0.87677141096734446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5">
      <c r="A8" s="20"/>
      <c r="B8" s="20"/>
      <c r="C8" s="27">
        <v>6</v>
      </c>
      <c r="D8" s="27" t="s">
        <v>31</v>
      </c>
      <c r="E8" s="27">
        <v>180</v>
      </c>
      <c r="F8" s="27">
        <f t="shared" si="1"/>
        <v>3026</v>
      </c>
      <c r="G8" s="34">
        <f t="shared" si="0"/>
        <v>0.93222427603203939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5">
      <c r="A9" s="20"/>
      <c r="B9" s="20"/>
      <c r="C9" s="27">
        <v>7</v>
      </c>
      <c r="D9" s="27" t="s">
        <v>45</v>
      </c>
      <c r="E9" s="27">
        <v>120</v>
      </c>
      <c r="F9" s="27">
        <f t="shared" si="1"/>
        <v>3146</v>
      </c>
      <c r="G9" s="34">
        <f t="shared" si="0"/>
        <v>0.96919285274183609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20"/>
      <c r="B10" s="20"/>
      <c r="C10" s="27">
        <v>8</v>
      </c>
      <c r="D10" s="27" t="s">
        <v>67</v>
      </c>
      <c r="E10" s="27">
        <v>80</v>
      </c>
      <c r="F10" s="27">
        <f t="shared" si="1"/>
        <v>3226</v>
      </c>
      <c r="G10" s="34">
        <f t="shared" si="0"/>
        <v>0.99383857054836722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5">
      <c r="A11" s="20"/>
      <c r="B11" s="20"/>
      <c r="C11" s="27">
        <v>9</v>
      </c>
      <c r="D11" s="27" t="s">
        <v>8</v>
      </c>
      <c r="E11" s="27">
        <v>20</v>
      </c>
      <c r="F11" s="27">
        <f t="shared" si="1"/>
        <v>3246</v>
      </c>
      <c r="G11" s="34">
        <f t="shared" si="0"/>
        <v>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5">
      <c r="A12" s="20"/>
      <c r="B12" s="20"/>
      <c r="C12" s="20"/>
      <c r="D12" s="20"/>
      <c r="E12" s="30"/>
      <c r="F12" s="3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5">
      <c r="A13" s="20"/>
      <c r="B13" s="20"/>
      <c r="C13" s="20"/>
      <c r="D13" s="20"/>
      <c r="E13" s="30"/>
      <c r="F13" s="3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5">
      <c r="A14" s="20"/>
      <c r="B14" s="20"/>
      <c r="C14" s="20"/>
      <c r="D14" s="20"/>
      <c r="E14" s="30"/>
      <c r="F14" s="3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5">
      <c r="A15" s="20"/>
      <c r="B15" s="20"/>
      <c r="C15" s="20"/>
      <c r="D15" s="20"/>
      <c r="E15" s="30"/>
      <c r="F15" s="3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5">
      <c r="A16" s="20"/>
      <c r="B16" s="20"/>
      <c r="C16" s="20"/>
      <c r="D16" s="20"/>
      <c r="E16" s="30"/>
      <c r="F16" s="3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5">
      <c r="A17" s="20"/>
      <c r="B17" s="20"/>
      <c r="C17" s="20"/>
      <c r="D17" s="20"/>
      <c r="E17" s="30"/>
      <c r="F17" s="3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5">
      <c r="A18" s="20"/>
      <c r="B18" s="20"/>
      <c r="C18" s="20"/>
      <c r="D18" s="20"/>
      <c r="E18" s="30"/>
      <c r="F18" s="3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5">
      <c r="A19" s="20"/>
      <c r="B19" s="20"/>
      <c r="C19" s="20"/>
      <c r="D19" s="20"/>
      <c r="E19" s="30"/>
      <c r="F19" s="3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5">
      <c r="A20" s="20"/>
      <c r="B20" s="20"/>
      <c r="C20" s="20"/>
      <c r="D20" s="20"/>
      <c r="E20" s="30"/>
      <c r="F20" s="3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5">
      <c r="A21" s="20"/>
      <c r="B21" s="20"/>
      <c r="C21" s="20"/>
      <c r="D21" s="20"/>
      <c r="E21" s="30"/>
      <c r="F21" s="3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5">
      <c r="A22" s="20"/>
      <c r="B22" s="20"/>
      <c r="C22" s="20"/>
      <c r="D22" s="20"/>
      <c r="E22" s="30"/>
      <c r="F22" s="3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5">
      <c r="A23" s="20"/>
      <c r="B23" s="20"/>
      <c r="C23" s="20"/>
      <c r="D23" s="20"/>
      <c r="E23" s="30"/>
      <c r="F23" s="3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5">
      <c r="A24" s="20"/>
      <c r="B24" s="20"/>
      <c r="C24" s="20"/>
      <c r="D24" s="20"/>
      <c r="E24" s="30"/>
      <c r="F24" s="3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5">
      <c r="A25" s="20"/>
      <c r="B25" s="20"/>
      <c r="C25" s="20"/>
      <c r="D25" s="20"/>
      <c r="E25" s="30"/>
      <c r="F25" s="3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5">
      <c r="A26" s="20"/>
      <c r="B26" s="20"/>
      <c r="C26" s="20"/>
      <c r="D26" s="20"/>
      <c r="E26" s="30"/>
      <c r="F26" s="3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20"/>
      <c r="B27" s="20"/>
      <c r="C27" s="32" t="s">
        <v>148</v>
      </c>
      <c r="D27" s="33" t="s">
        <v>37</v>
      </c>
      <c r="E27" s="33" t="s">
        <v>150</v>
      </c>
      <c r="F27" s="33" t="s">
        <v>151</v>
      </c>
      <c r="G27" s="33" t="s">
        <v>152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20"/>
      <c r="B28" s="20"/>
      <c r="C28" s="27">
        <v>1</v>
      </c>
      <c r="D28" s="35" t="s">
        <v>153</v>
      </c>
      <c r="E28" s="27">
        <v>230</v>
      </c>
      <c r="F28" s="27">
        <v>230</v>
      </c>
      <c r="G28" s="34">
        <f t="shared" ref="G28:G34" si="2">F28/$F$34</f>
        <v>0.29487179487179488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20"/>
      <c r="B29" s="20"/>
      <c r="C29" s="27">
        <v>2</v>
      </c>
      <c r="D29" s="35" t="s">
        <v>154</v>
      </c>
      <c r="E29" s="27">
        <v>210</v>
      </c>
      <c r="F29" s="27">
        <f t="shared" ref="F29:F34" si="3">F28+E29</f>
        <v>440</v>
      </c>
      <c r="G29" s="34">
        <f t="shared" si="2"/>
        <v>0.5641025641025641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20"/>
      <c r="B30" s="20"/>
      <c r="C30" s="27">
        <v>3</v>
      </c>
      <c r="D30" s="35" t="s">
        <v>155</v>
      </c>
      <c r="E30" s="27">
        <v>190</v>
      </c>
      <c r="F30" s="27">
        <f t="shared" si="3"/>
        <v>630</v>
      </c>
      <c r="G30" s="34">
        <f t="shared" si="2"/>
        <v>0.80769230769230771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20"/>
      <c r="B31" s="20"/>
      <c r="C31" s="27">
        <v>4</v>
      </c>
      <c r="D31" s="35" t="s">
        <v>39</v>
      </c>
      <c r="E31" s="27">
        <v>80</v>
      </c>
      <c r="F31" s="27">
        <f t="shared" si="3"/>
        <v>710</v>
      </c>
      <c r="G31" s="34">
        <f t="shared" si="2"/>
        <v>0.91025641025641024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0"/>
      <c r="B32" s="20"/>
      <c r="C32" s="27">
        <v>5</v>
      </c>
      <c r="D32" s="35" t="s">
        <v>156</v>
      </c>
      <c r="E32" s="27">
        <v>40</v>
      </c>
      <c r="F32" s="27">
        <f t="shared" si="3"/>
        <v>750</v>
      </c>
      <c r="G32" s="34">
        <f t="shared" si="2"/>
        <v>0.96153846153846156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20"/>
      <c r="B33" s="20"/>
      <c r="C33" s="27">
        <v>6</v>
      </c>
      <c r="D33" s="35" t="s">
        <v>125</v>
      </c>
      <c r="E33" s="27">
        <v>15</v>
      </c>
      <c r="F33" s="27">
        <f t="shared" si="3"/>
        <v>765</v>
      </c>
      <c r="G33" s="34">
        <f t="shared" si="2"/>
        <v>0.98076923076923073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20"/>
      <c r="B34" s="20"/>
      <c r="C34" s="27">
        <v>7</v>
      </c>
      <c r="D34" s="35" t="s">
        <v>157</v>
      </c>
      <c r="E34" s="27">
        <v>15</v>
      </c>
      <c r="F34" s="27">
        <f t="shared" si="3"/>
        <v>780</v>
      </c>
      <c r="G34" s="34">
        <f t="shared" si="2"/>
        <v>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20"/>
      <c r="B35" s="20"/>
      <c r="C35" s="30"/>
      <c r="D35" s="30"/>
      <c r="E35" s="30"/>
      <c r="F35" s="30"/>
      <c r="G35" s="3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20"/>
      <c r="B36" s="20"/>
      <c r="C36" s="20"/>
      <c r="D36" s="20"/>
      <c r="E36" s="30"/>
      <c r="F36" s="3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20"/>
      <c r="B37" s="20"/>
      <c r="C37" s="20"/>
      <c r="D37" s="20"/>
      <c r="E37" s="30"/>
      <c r="F37" s="3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20"/>
      <c r="B38" s="20"/>
      <c r="C38" s="20"/>
      <c r="D38" s="20"/>
      <c r="E38" s="30"/>
      <c r="F38" s="3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20"/>
      <c r="B39" s="20"/>
      <c r="C39" s="36"/>
      <c r="D39" s="36"/>
      <c r="E39" s="37"/>
      <c r="F39" s="37"/>
      <c r="G39" s="36"/>
      <c r="H39" s="36"/>
      <c r="I39" s="36"/>
      <c r="J39" s="36"/>
      <c r="K39" s="36"/>
      <c r="L39" s="36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20"/>
      <c r="B40" s="20"/>
      <c r="C40" s="20"/>
      <c r="D40" s="20"/>
      <c r="E40" s="30"/>
      <c r="F40" s="3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20"/>
      <c r="B41" s="20"/>
      <c r="C41" s="158" t="s">
        <v>148</v>
      </c>
      <c r="D41" s="159" t="s">
        <v>158</v>
      </c>
      <c r="E41" s="158" t="s">
        <v>159</v>
      </c>
      <c r="F41" s="156" t="s">
        <v>160</v>
      </c>
      <c r="G41" s="156" t="s">
        <v>161</v>
      </c>
      <c r="H41" s="156" t="s">
        <v>162</v>
      </c>
      <c r="I41" s="156" t="s">
        <v>163</v>
      </c>
      <c r="J41" s="156" t="s">
        <v>164</v>
      </c>
      <c r="K41" s="156" t="s">
        <v>162</v>
      </c>
      <c r="L41" s="156" t="s">
        <v>163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7.75" customHeight="1" x14ac:dyDescent="0.25">
      <c r="A42" s="20"/>
      <c r="B42" s="20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72.75" customHeight="1" x14ac:dyDescent="0.25">
      <c r="A43" s="20"/>
      <c r="B43" s="20"/>
      <c r="C43" s="27">
        <v>1</v>
      </c>
      <c r="D43" s="26" t="s">
        <v>153</v>
      </c>
      <c r="E43" s="29" t="s">
        <v>165</v>
      </c>
      <c r="F43" s="38" t="s">
        <v>166</v>
      </c>
      <c r="G43" s="28" t="s">
        <v>167</v>
      </c>
      <c r="H43" s="28" t="s">
        <v>168</v>
      </c>
      <c r="I43" s="39" t="s">
        <v>169</v>
      </c>
      <c r="J43" s="28" t="s">
        <v>170</v>
      </c>
      <c r="K43" s="39">
        <v>45863</v>
      </c>
      <c r="L43" s="28" t="s">
        <v>171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42" customHeight="1" x14ac:dyDescent="0.25">
      <c r="A44" s="20"/>
      <c r="B44" s="20"/>
      <c r="C44" s="40">
        <v>2</v>
      </c>
      <c r="D44" s="41" t="s">
        <v>154</v>
      </c>
      <c r="E44" s="42" t="s">
        <v>172</v>
      </c>
      <c r="F44" s="43" t="s">
        <v>173</v>
      </c>
      <c r="G44" s="44" t="s">
        <v>174</v>
      </c>
      <c r="H44" s="45" t="s">
        <v>168</v>
      </c>
      <c r="I44" s="45" t="s">
        <v>169</v>
      </c>
      <c r="J44" s="44" t="s">
        <v>175</v>
      </c>
      <c r="K44" s="45" t="s">
        <v>168</v>
      </c>
      <c r="L44" s="45" t="s">
        <v>169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57" customHeight="1" x14ac:dyDescent="0.25">
      <c r="A45" s="20"/>
      <c r="B45" s="20"/>
      <c r="C45" s="27">
        <v>3</v>
      </c>
      <c r="D45" s="28" t="s">
        <v>155</v>
      </c>
      <c r="E45" s="29" t="s">
        <v>165</v>
      </c>
      <c r="F45" s="29" t="s">
        <v>176</v>
      </c>
      <c r="G45" s="28" t="s">
        <v>177</v>
      </c>
      <c r="H45" s="39">
        <v>45682</v>
      </c>
      <c r="I45" s="39" t="s">
        <v>169</v>
      </c>
      <c r="J45" s="28" t="s">
        <v>178</v>
      </c>
      <c r="K45" s="39">
        <v>45682</v>
      </c>
      <c r="L45" s="28" t="s">
        <v>169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20"/>
      <c r="B46" s="20"/>
      <c r="C46" s="20"/>
      <c r="D46" s="20"/>
      <c r="E46" s="30"/>
      <c r="F46" s="3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20"/>
      <c r="B47" s="20"/>
      <c r="C47" s="20"/>
      <c r="D47" s="20"/>
      <c r="E47" s="30"/>
      <c r="F47" s="3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20"/>
      <c r="B48" s="20"/>
      <c r="C48" s="32" t="s">
        <v>148</v>
      </c>
      <c r="D48" s="33" t="s">
        <v>41</v>
      </c>
      <c r="E48" s="33" t="s">
        <v>150</v>
      </c>
      <c r="F48" s="33" t="s">
        <v>151</v>
      </c>
      <c r="G48" s="33" t="s">
        <v>152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" customHeight="1" x14ac:dyDescent="0.25">
      <c r="A49" s="20"/>
      <c r="B49" s="20"/>
      <c r="C49" s="27">
        <v>1</v>
      </c>
      <c r="D49" s="46" t="s">
        <v>153</v>
      </c>
      <c r="E49" s="27">
        <v>310</v>
      </c>
      <c r="F49" s="27">
        <v>310</v>
      </c>
      <c r="G49" s="34">
        <f t="shared" ref="G49:G53" si="4">F49/$F$53</f>
        <v>0.41278295605858856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20"/>
      <c r="B50" s="20"/>
      <c r="C50" s="27">
        <v>2</v>
      </c>
      <c r="D50" s="46" t="s">
        <v>179</v>
      </c>
      <c r="E50" s="27">
        <v>161</v>
      </c>
      <c r="F50" s="27">
        <f t="shared" ref="F50:F53" si="5">F49+E50</f>
        <v>471</v>
      </c>
      <c r="G50" s="34">
        <f t="shared" si="4"/>
        <v>0.6271637816245007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20"/>
      <c r="B51" s="20"/>
      <c r="C51" s="27">
        <v>3</v>
      </c>
      <c r="D51" s="46" t="s">
        <v>180</v>
      </c>
      <c r="E51" s="27">
        <v>130</v>
      </c>
      <c r="F51" s="27">
        <f t="shared" si="5"/>
        <v>601</v>
      </c>
      <c r="G51" s="34">
        <f t="shared" si="4"/>
        <v>0.80026631158455397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20"/>
      <c r="B52" s="20"/>
      <c r="C52" s="27">
        <v>4</v>
      </c>
      <c r="D52" s="46" t="s">
        <v>181</v>
      </c>
      <c r="E52" s="27">
        <v>120</v>
      </c>
      <c r="F52" s="27">
        <f t="shared" si="5"/>
        <v>721</v>
      </c>
      <c r="G52" s="34">
        <f t="shared" si="4"/>
        <v>0.96005326231691079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20"/>
      <c r="B53" s="20"/>
      <c r="C53" s="27">
        <v>5</v>
      </c>
      <c r="D53" s="46" t="s">
        <v>182</v>
      </c>
      <c r="E53" s="27">
        <v>30</v>
      </c>
      <c r="F53" s="27">
        <f t="shared" si="5"/>
        <v>751</v>
      </c>
      <c r="G53" s="34">
        <f t="shared" si="4"/>
        <v>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20"/>
      <c r="B54" s="20"/>
      <c r="C54" s="20"/>
      <c r="D54" s="20"/>
      <c r="E54" s="30"/>
      <c r="F54" s="3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20"/>
      <c r="B55" s="20"/>
      <c r="C55" s="20"/>
      <c r="D55" s="20"/>
      <c r="E55" s="30"/>
      <c r="F55" s="3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20"/>
      <c r="B56" s="20"/>
      <c r="C56" s="20"/>
      <c r="D56" s="20"/>
      <c r="E56" s="30"/>
      <c r="F56" s="3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20"/>
      <c r="B57" s="20"/>
      <c r="C57" s="20"/>
      <c r="D57" s="20"/>
      <c r="E57" s="30"/>
      <c r="F57" s="3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20"/>
      <c r="B58" s="20"/>
      <c r="C58" s="36"/>
      <c r="D58" s="36"/>
      <c r="E58" s="37"/>
      <c r="F58" s="37"/>
      <c r="G58" s="36"/>
      <c r="H58" s="36"/>
      <c r="I58" s="36"/>
      <c r="J58" s="36"/>
      <c r="K58" s="36"/>
      <c r="L58" s="36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20"/>
      <c r="B59" s="20"/>
      <c r="C59" s="20"/>
      <c r="D59" s="20"/>
      <c r="E59" s="30"/>
      <c r="F59" s="3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20"/>
      <c r="B60" s="20"/>
      <c r="C60" s="158" t="s">
        <v>148</v>
      </c>
      <c r="D60" s="159" t="s">
        <v>158</v>
      </c>
      <c r="E60" s="158" t="s">
        <v>159</v>
      </c>
      <c r="F60" s="156" t="s">
        <v>160</v>
      </c>
      <c r="G60" s="156" t="s">
        <v>161</v>
      </c>
      <c r="H60" s="156" t="s">
        <v>162</v>
      </c>
      <c r="I60" s="156" t="s">
        <v>163</v>
      </c>
      <c r="J60" s="156" t="s">
        <v>164</v>
      </c>
      <c r="K60" s="156" t="s">
        <v>162</v>
      </c>
      <c r="L60" s="156" t="s">
        <v>163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20"/>
      <c r="B61" s="2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20"/>
      <c r="B62" s="20"/>
      <c r="C62" s="27">
        <v>1</v>
      </c>
      <c r="D62" s="26" t="s">
        <v>153</v>
      </c>
      <c r="E62" s="29" t="s">
        <v>165</v>
      </c>
      <c r="F62" s="29" t="s">
        <v>183</v>
      </c>
      <c r="G62" s="28" t="s">
        <v>184</v>
      </c>
      <c r="H62" s="28" t="s">
        <v>168</v>
      </c>
      <c r="I62" s="28" t="s">
        <v>169</v>
      </c>
      <c r="J62" s="28" t="s">
        <v>185</v>
      </c>
      <c r="K62" s="28" t="s">
        <v>168</v>
      </c>
      <c r="L62" s="28" t="s">
        <v>169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20"/>
      <c r="B63" s="20"/>
      <c r="C63" s="27">
        <v>2</v>
      </c>
      <c r="D63" s="28" t="s">
        <v>186</v>
      </c>
      <c r="E63" s="29" t="s">
        <v>165</v>
      </c>
      <c r="F63" s="29" t="s">
        <v>187</v>
      </c>
      <c r="G63" s="28" t="s">
        <v>188</v>
      </c>
      <c r="H63" s="28" t="s">
        <v>168</v>
      </c>
      <c r="I63" s="28" t="s">
        <v>169</v>
      </c>
      <c r="J63" s="28" t="s">
        <v>189</v>
      </c>
      <c r="K63" s="28" t="s">
        <v>168</v>
      </c>
      <c r="L63" s="28" t="s">
        <v>169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20"/>
      <c r="B64" s="20"/>
      <c r="C64" s="20"/>
      <c r="D64" s="20"/>
      <c r="E64" s="30"/>
      <c r="F64" s="3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20"/>
      <c r="B65" s="20"/>
      <c r="C65" s="20"/>
      <c r="D65" s="20"/>
      <c r="E65" s="30"/>
      <c r="F65" s="3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20"/>
      <c r="B66" s="20"/>
      <c r="C66" s="32" t="s">
        <v>148</v>
      </c>
      <c r="D66" s="33" t="s">
        <v>55</v>
      </c>
      <c r="E66" s="33" t="s">
        <v>150</v>
      </c>
      <c r="F66" s="33" t="s">
        <v>151</v>
      </c>
      <c r="G66" s="33" t="s">
        <v>152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20"/>
      <c r="B67" s="20"/>
      <c r="C67" s="27">
        <v>1</v>
      </c>
      <c r="D67" s="29" t="s">
        <v>190</v>
      </c>
      <c r="E67" s="27">
        <v>200</v>
      </c>
      <c r="F67" s="27">
        <v>200</v>
      </c>
      <c r="G67" s="34">
        <f t="shared" ref="G67:G72" si="6">F67/$F$72</f>
        <v>0.33057851239669422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20"/>
      <c r="B68" s="20"/>
      <c r="C68" s="27">
        <v>2</v>
      </c>
      <c r="D68" s="29" t="s">
        <v>84</v>
      </c>
      <c r="E68" s="27">
        <v>190</v>
      </c>
      <c r="F68" s="27">
        <f t="shared" ref="F68:F72" si="7">F67+E68</f>
        <v>390</v>
      </c>
      <c r="G68" s="34">
        <f t="shared" si="6"/>
        <v>0.64462809917355368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20"/>
      <c r="B69" s="20"/>
      <c r="C69" s="27">
        <v>3</v>
      </c>
      <c r="D69" s="29" t="s">
        <v>64</v>
      </c>
      <c r="E69" s="27">
        <v>145</v>
      </c>
      <c r="F69" s="27">
        <f t="shared" si="7"/>
        <v>535</v>
      </c>
      <c r="G69" s="34">
        <f t="shared" si="6"/>
        <v>0.88429752066115708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20"/>
      <c r="B70" s="20"/>
      <c r="C70" s="27">
        <v>4</v>
      </c>
      <c r="D70" s="29" t="s">
        <v>56</v>
      </c>
      <c r="E70" s="27">
        <v>30</v>
      </c>
      <c r="F70" s="27">
        <f t="shared" si="7"/>
        <v>565</v>
      </c>
      <c r="G70" s="34">
        <f t="shared" si="6"/>
        <v>0.93388429752066116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20"/>
      <c r="B71" s="20"/>
      <c r="C71" s="27">
        <v>5</v>
      </c>
      <c r="D71" s="29" t="s">
        <v>76</v>
      </c>
      <c r="E71" s="27">
        <v>20</v>
      </c>
      <c r="F71" s="27">
        <f t="shared" si="7"/>
        <v>585</v>
      </c>
      <c r="G71" s="34">
        <f t="shared" si="6"/>
        <v>0.96694214876033058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20"/>
      <c r="B72" s="20"/>
      <c r="C72" s="27">
        <v>5</v>
      </c>
      <c r="D72" s="29" t="s">
        <v>140</v>
      </c>
      <c r="E72" s="27">
        <v>20</v>
      </c>
      <c r="F72" s="27">
        <f t="shared" si="7"/>
        <v>605</v>
      </c>
      <c r="G72" s="34">
        <f t="shared" si="6"/>
        <v>1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20"/>
      <c r="B73" s="20"/>
      <c r="C73" s="20"/>
      <c r="D73" s="20"/>
      <c r="E73" s="30"/>
      <c r="F73" s="3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20"/>
      <c r="B74" s="20"/>
      <c r="C74" s="20"/>
      <c r="D74" s="20"/>
      <c r="E74" s="30"/>
      <c r="F74" s="3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20"/>
      <c r="B75" s="20"/>
      <c r="C75" s="20"/>
      <c r="D75" s="20"/>
      <c r="E75" s="30"/>
      <c r="F75" s="3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20"/>
      <c r="B76" s="20"/>
      <c r="C76" s="20"/>
      <c r="D76" s="20"/>
      <c r="E76" s="30"/>
      <c r="F76" s="3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20"/>
      <c r="B77" s="20"/>
      <c r="C77" s="20"/>
      <c r="D77" s="20"/>
      <c r="E77" s="30"/>
      <c r="F77" s="3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20"/>
      <c r="B78" s="20"/>
      <c r="C78" s="20"/>
      <c r="D78" s="20"/>
      <c r="E78" s="30"/>
      <c r="F78" s="3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20"/>
      <c r="B79" s="20"/>
      <c r="C79" s="36"/>
      <c r="D79" s="36"/>
      <c r="E79" s="37"/>
      <c r="F79" s="37"/>
      <c r="G79" s="36"/>
      <c r="H79" s="36"/>
      <c r="I79" s="36"/>
      <c r="J79" s="36"/>
      <c r="K79" s="36"/>
      <c r="L79" s="36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20"/>
      <c r="B80" s="20"/>
      <c r="C80" s="20"/>
      <c r="D80" s="20"/>
      <c r="E80" s="30"/>
      <c r="F80" s="3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20"/>
      <c r="B81" s="20"/>
      <c r="C81" s="20"/>
      <c r="D81" s="20"/>
      <c r="E81" s="30"/>
      <c r="F81" s="3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20"/>
      <c r="B82" s="20"/>
      <c r="C82" s="158" t="s">
        <v>148</v>
      </c>
      <c r="D82" s="159" t="s">
        <v>158</v>
      </c>
      <c r="E82" s="158" t="s">
        <v>159</v>
      </c>
      <c r="F82" s="156" t="s">
        <v>160</v>
      </c>
      <c r="G82" s="156" t="s">
        <v>161</v>
      </c>
      <c r="H82" s="156" t="s">
        <v>162</v>
      </c>
      <c r="I82" s="156" t="s">
        <v>163</v>
      </c>
      <c r="J82" s="156" t="s">
        <v>164</v>
      </c>
      <c r="K82" s="156" t="s">
        <v>162</v>
      </c>
      <c r="L82" s="156" t="s">
        <v>163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20"/>
      <c r="B83" s="2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20"/>
      <c r="B84" s="20"/>
      <c r="C84" s="27">
        <v>1</v>
      </c>
      <c r="D84" s="26" t="s">
        <v>191</v>
      </c>
      <c r="E84" s="29" t="s">
        <v>165</v>
      </c>
      <c r="F84" s="29" t="s">
        <v>192</v>
      </c>
      <c r="G84" s="28" t="s">
        <v>193</v>
      </c>
      <c r="H84" s="28" t="s">
        <v>194</v>
      </c>
      <c r="I84" s="28" t="s">
        <v>195</v>
      </c>
      <c r="J84" s="28" t="s">
        <v>196</v>
      </c>
      <c r="K84" s="28" t="s">
        <v>197</v>
      </c>
      <c r="L84" s="28" t="s">
        <v>195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20"/>
      <c r="B85" s="20"/>
      <c r="C85" s="27">
        <v>2</v>
      </c>
      <c r="D85" s="28" t="s">
        <v>198</v>
      </c>
      <c r="E85" s="29" t="s">
        <v>165</v>
      </c>
      <c r="F85" s="29" t="s">
        <v>199</v>
      </c>
      <c r="G85" s="28" t="s">
        <v>200</v>
      </c>
      <c r="H85" s="28" t="s">
        <v>201</v>
      </c>
      <c r="I85" s="28" t="s">
        <v>195</v>
      </c>
      <c r="J85" s="28" t="s">
        <v>202</v>
      </c>
      <c r="K85" s="28" t="s">
        <v>203</v>
      </c>
      <c r="L85" s="28" t="s">
        <v>195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20"/>
      <c r="B86" s="20"/>
      <c r="C86" s="20"/>
      <c r="D86" s="20"/>
      <c r="E86" s="30"/>
      <c r="F86" s="3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20"/>
      <c r="B87" s="20"/>
      <c r="C87" s="20"/>
      <c r="D87" s="20"/>
      <c r="E87" s="30"/>
      <c r="F87" s="3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20"/>
      <c r="B88" s="20"/>
      <c r="C88" s="20"/>
      <c r="D88" s="20"/>
      <c r="E88" s="30"/>
      <c r="F88" s="3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20"/>
      <c r="B89" s="20"/>
      <c r="C89" s="20"/>
      <c r="D89" s="20"/>
      <c r="E89" s="30"/>
      <c r="F89" s="3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20"/>
      <c r="B90" s="20"/>
      <c r="C90" s="20"/>
      <c r="D90" s="20"/>
      <c r="E90" s="30"/>
      <c r="F90" s="3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20"/>
      <c r="B91" s="20"/>
      <c r="C91" s="20"/>
      <c r="D91" s="20"/>
      <c r="E91" s="30"/>
      <c r="F91" s="3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20"/>
      <c r="B92" s="20"/>
      <c r="C92" s="20"/>
      <c r="D92" s="20"/>
      <c r="E92" s="30"/>
      <c r="F92" s="3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20"/>
      <c r="B93" s="20"/>
      <c r="C93" s="20"/>
      <c r="D93" s="20"/>
      <c r="E93" s="30"/>
      <c r="F93" s="3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20"/>
      <c r="B94" s="20"/>
      <c r="C94" s="20"/>
      <c r="D94" s="20"/>
      <c r="E94" s="30"/>
      <c r="F94" s="3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20"/>
      <c r="B95" s="20"/>
      <c r="C95" s="20"/>
      <c r="D95" s="20"/>
      <c r="E95" s="30"/>
      <c r="F95" s="3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20"/>
      <c r="B96" s="20"/>
      <c r="C96" s="20"/>
      <c r="D96" s="20"/>
      <c r="E96" s="30"/>
      <c r="F96" s="3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20"/>
      <c r="B97" s="20"/>
      <c r="C97" s="20"/>
      <c r="D97" s="20"/>
      <c r="E97" s="30"/>
      <c r="F97" s="3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20"/>
      <c r="B98" s="20"/>
      <c r="C98" s="20"/>
      <c r="D98" s="20"/>
      <c r="E98" s="30"/>
      <c r="F98" s="3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20"/>
      <c r="B99" s="20"/>
      <c r="C99" s="20"/>
      <c r="D99" s="20"/>
      <c r="E99" s="30"/>
      <c r="F99" s="3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20"/>
      <c r="B100" s="20"/>
      <c r="C100" s="20"/>
      <c r="D100" s="20"/>
      <c r="E100" s="30"/>
      <c r="F100" s="3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20"/>
      <c r="B101" s="20"/>
      <c r="C101" s="20"/>
      <c r="D101" s="20"/>
      <c r="E101" s="30"/>
      <c r="F101" s="3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20"/>
      <c r="B102" s="20"/>
      <c r="C102" s="20"/>
      <c r="D102" s="20"/>
      <c r="E102" s="30"/>
      <c r="F102" s="3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20"/>
      <c r="B103" s="20"/>
      <c r="C103" s="20"/>
      <c r="D103" s="20"/>
      <c r="E103" s="30"/>
      <c r="F103" s="3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20"/>
      <c r="B104" s="20"/>
      <c r="C104" s="20"/>
      <c r="D104" s="20"/>
      <c r="E104" s="30"/>
      <c r="F104" s="3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20"/>
      <c r="B105" s="20"/>
      <c r="C105" s="20"/>
      <c r="D105" s="20"/>
      <c r="E105" s="30"/>
      <c r="F105" s="3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20"/>
      <c r="B106" s="20"/>
      <c r="C106" s="20"/>
      <c r="D106" s="20"/>
      <c r="E106" s="30"/>
      <c r="F106" s="3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20"/>
      <c r="B107" s="20"/>
      <c r="C107" s="20"/>
      <c r="D107" s="20"/>
      <c r="E107" s="30"/>
      <c r="F107" s="3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20"/>
      <c r="B108" s="20"/>
      <c r="C108" s="20"/>
      <c r="D108" s="20"/>
      <c r="E108" s="30"/>
      <c r="F108" s="3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20"/>
      <c r="B109" s="20"/>
      <c r="C109" s="20"/>
      <c r="D109" s="20"/>
      <c r="E109" s="30"/>
      <c r="F109" s="3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20"/>
      <c r="B110" s="20"/>
      <c r="C110" s="20"/>
      <c r="D110" s="20"/>
      <c r="E110" s="30"/>
      <c r="F110" s="3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20"/>
      <c r="B111" s="20"/>
      <c r="C111" s="20"/>
      <c r="D111" s="20"/>
      <c r="E111" s="30"/>
      <c r="F111" s="3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20"/>
      <c r="B112" s="20"/>
      <c r="C112" s="20"/>
      <c r="D112" s="20"/>
      <c r="E112" s="30"/>
      <c r="F112" s="3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20"/>
      <c r="B113" s="20"/>
      <c r="C113" s="20"/>
      <c r="D113" s="20"/>
      <c r="E113" s="30"/>
      <c r="F113" s="3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20"/>
      <c r="B114" s="20"/>
      <c r="C114" s="20"/>
      <c r="D114" s="20"/>
      <c r="E114" s="30"/>
      <c r="F114" s="3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20"/>
      <c r="B115" s="20"/>
      <c r="C115" s="20"/>
      <c r="D115" s="20"/>
      <c r="E115" s="30"/>
      <c r="F115" s="3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20"/>
      <c r="B116" s="20"/>
      <c r="C116" s="20"/>
      <c r="D116" s="20"/>
      <c r="E116" s="30"/>
      <c r="F116" s="3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20"/>
      <c r="B117" s="20"/>
      <c r="C117" s="20"/>
      <c r="D117" s="20"/>
      <c r="E117" s="30"/>
      <c r="F117" s="3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20"/>
      <c r="B118" s="20"/>
      <c r="C118" s="20"/>
      <c r="D118" s="20"/>
      <c r="E118" s="30"/>
      <c r="F118" s="3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20"/>
      <c r="B119" s="20"/>
      <c r="C119" s="20"/>
      <c r="D119" s="20"/>
      <c r="E119" s="30"/>
      <c r="F119" s="3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20"/>
      <c r="B120" s="20"/>
      <c r="C120" s="20"/>
      <c r="D120" s="20"/>
      <c r="E120" s="30"/>
      <c r="F120" s="3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20"/>
      <c r="B121" s="20"/>
      <c r="C121" s="20"/>
      <c r="D121" s="20"/>
      <c r="E121" s="30"/>
      <c r="F121" s="3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20"/>
      <c r="B122" s="20"/>
      <c r="C122" s="20"/>
      <c r="D122" s="20"/>
      <c r="E122" s="30"/>
      <c r="F122" s="3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20"/>
      <c r="B123" s="20"/>
      <c r="C123" s="20"/>
      <c r="D123" s="20"/>
      <c r="E123" s="30"/>
      <c r="F123" s="3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20"/>
      <c r="B124" s="20"/>
      <c r="C124" s="20"/>
      <c r="D124" s="20"/>
      <c r="E124" s="30"/>
      <c r="F124" s="3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20"/>
      <c r="B125" s="20"/>
      <c r="C125" s="20"/>
      <c r="D125" s="20"/>
      <c r="E125" s="30"/>
      <c r="F125" s="3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20"/>
      <c r="B126" s="20"/>
      <c r="C126" s="20"/>
      <c r="D126" s="20"/>
      <c r="E126" s="30"/>
      <c r="F126" s="3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20"/>
      <c r="B127" s="20"/>
      <c r="C127" s="20"/>
      <c r="D127" s="20"/>
      <c r="E127" s="30"/>
      <c r="F127" s="3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20"/>
      <c r="B128" s="20"/>
      <c r="C128" s="20"/>
      <c r="D128" s="20"/>
      <c r="E128" s="30"/>
      <c r="F128" s="3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20"/>
      <c r="B129" s="20"/>
      <c r="C129" s="20"/>
      <c r="D129" s="20"/>
      <c r="E129" s="30"/>
      <c r="F129" s="3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20"/>
      <c r="B130" s="20"/>
      <c r="C130" s="20"/>
      <c r="D130" s="20"/>
      <c r="E130" s="30"/>
      <c r="F130" s="3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20"/>
      <c r="B131" s="20"/>
      <c r="C131" s="20"/>
      <c r="D131" s="20"/>
      <c r="E131" s="30"/>
      <c r="F131" s="3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20"/>
      <c r="B132" s="20"/>
      <c r="C132" s="20"/>
      <c r="D132" s="20"/>
      <c r="E132" s="30"/>
      <c r="F132" s="3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20"/>
      <c r="B133" s="20"/>
      <c r="C133" s="20"/>
      <c r="D133" s="20"/>
      <c r="E133" s="30"/>
      <c r="F133" s="3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20"/>
      <c r="B134" s="20"/>
      <c r="C134" s="20"/>
      <c r="D134" s="20"/>
      <c r="E134" s="30"/>
      <c r="F134" s="3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20"/>
      <c r="B135" s="20"/>
      <c r="C135" s="20"/>
      <c r="D135" s="20"/>
      <c r="E135" s="30"/>
      <c r="F135" s="3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20"/>
      <c r="B136" s="20"/>
      <c r="C136" s="20"/>
      <c r="D136" s="20"/>
      <c r="E136" s="30"/>
      <c r="F136" s="3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20"/>
      <c r="B137" s="20"/>
      <c r="C137" s="20"/>
      <c r="D137" s="20"/>
      <c r="E137" s="30"/>
      <c r="F137" s="3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20"/>
      <c r="B138" s="20"/>
      <c r="C138" s="20"/>
      <c r="D138" s="20"/>
      <c r="E138" s="30"/>
      <c r="F138" s="3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20"/>
      <c r="B139" s="20"/>
      <c r="C139" s="20"/>
      <c r="D139" s="20"/>
      <c r="E139" s="30"/>
      <c r="F139" s="3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20"/>
      <c r="B140" s="20"/>
      <c r="C140" s="20"/>
      <c r="D140" s="20"/>
      <c r="E140" s="30"/>
      <c r="F140" s="3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20"/>
      <c r="B141" s="20"/>
      <c r="C141" s="20"/>
      <c r="D141" s="20"/>
      <c r="E141" s="30"/>
      <c r="F141" s="3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20"/>
      <c r="B142" s="20"/>
      <c r="C142" s="20"/>
      <c r="D142" s="20"/>
      <c r="E142" s="30"/>
      <c r="F142" s="3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20"/>
      <c r="B143" s="20"/>
      <c r="C143" s="20"/>
      <c r="D143" s="20"/>
      <c r="E143" s="30"/>
      <c r="F143" s="3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20"/>
      <c r="B144" s="20"/>
      <c r="C144" s="20"/>
      <c r="D144" s="20"/>
      <c r="E144" s="30"/>
      <c r="F144" s="3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20"/>
      <c r="B145" s="20"/>
      <c r="C145" s="20"/>
      <c r="D145" s="20"/>
      <c r="E145" s="30"/>
      <c r="F145" s="3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20"/>
      <c r="B146" s="20"/>
      <c r="C146" s="20"/>
      <c r="D146" s="20"/>
      <c r="E146" s="30"/>
      <c r="F146" s="3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20"/>
      <c r="B147" s="20"/>
      <c r="C147" s="20"/>
      <c r="D147" s="20"/>
      <c r="E147" s="30"/>
      <c r="F147" s="3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20"/>
      <c r="B148" s="20"/>
      <c r="C148" s="20"/>
      <c r="D148" s="20"/>
      <c r="E148" s="30"/>
      <c r="F148" s="3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20"/>
      <c r="B149" s="20"/>
      <c r="C149" s="20"/>
      <c r="D149" s="20"/>
      <c r="E149" s="30"/>
      <c r="F149" s="3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20"/>
      <c r="B150" s="20"/>
      <c r="C150" s="20"/>
      <c r="D150" s="20"/>
      <c r="E150" s="30"/>
      <c r="F150" s="3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20"/>
      <c r="B151" s="20"/>
      <c r="C151" s="20"/>
      <c r="D151" s="20"/>
      <c r="E151" s="30"/>
      <c r="F151" s="3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20"/>
      <c r="B152" s="20"/>
      <c r="C152" s="20"/>
      <c r="D152" s="20"/>
      <c r="E152" s="30"/>
      <c r="F152" s="3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20"/>
      <c r="B153" s="20"/>
      <c r="C153" s="20"/>
      <c r="D153" s="20"/>
      <c r="E153" s="30"/>
      <c r="F153" s="3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20"/>
      <c r="B154" s="20"/>
      <c r="C154" s="20"/>
      <c r="D154" s="20"/>
      <c r="E154" s="30"/>
      <c r="F154" s="3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20"/>
      <c r="B155" s="20"/>
      <c r="C155" s="20"/>
      <c r="D155" s="20"/>
      <c r="E155" s="30"/>
      <c r="F155" s="3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20"/>
      <c r="B156" s="20"/>
      <c r="C156" s="20"/>
      <c r="D156" s="20"/>
      <c r="E156" s="30"/>
      <c r="F156" s="3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20"/>
      <c r="B157" s="20"/>
      <c r="C157" s="20"/>
      <c r="D157" s="20"/>
      <c r="E157" s="30"/>
      <c r="F157" s="3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20"/>
      <c r="B158" s="20"/>
      <c r="C158" s="20"/>
      <c r="D158" s="20"/>
      <c r="E158" s="30"/>
      <c r="F158" s="3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20"/>
      <c r="B159" s="20"/>
      <c r="C159" s="20"/>
      <c r="D159" s="20"/>
      <c r="E159" s="30"/>
      <c r="F159" s="3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20"/>
      <c r="B160" s="20"/>
      <c r="C160" s="20"/>
      <c r="D160" s="20"/>
      <c r="E160" s="30"/>
      <c r="F160" s="3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20"/>
      <c r="B161" s="20"/>
      <c r="C161" s="20"/>
      <c r="D161" s="20"/>
      <c r="E161" s="30"/>
      <c r="F161" s="3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20"/>
      <c r="B162" s="20"/>
      <c r="C162" s="20"/>
      <c r="D162" s="20"/>
      <c r="E162" s="30"/>
      <c r="F162" s="3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20"/>
      <c r="B163" s="20"/>
      <c r="C163" s="20"/>
      <c r="D163" s="20"/>
      <c r="E163" s="30"/>
      <c r="F163" s="3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20"/>
      <c r="B164" s="20"/>
      <c r="C164" s="20"/>
      <c r="D164" s="20"/>
      <c r="E164" s="30"/>
      <c r="F164" s="3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20"/>
      <c r="B165" s="20"/>
      <c r="C165" s="20"/>
      <c r="D165" s="20"/>
      <c r="E165" s="30"/>
      <c r="F165" s="3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20"/>
      <c r="B166" s="20"/>
      <c r="C166" s="20"/>
      <c r="D166" s="20"/>
      <c r="E166" s="30"/>
      <c r="F166" s="3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20"/>
      <c r="B167" s="20"/>
      <c r="C167" s="20"/>
      <c r="D167" s="20"/>
      <c r="E167" s="30"/>
      <c r="F167" s="3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20"/>
      <c r="B168" s="20"/>
      <c r="C168" s="20"/>
      <c r="D168" s="20"/>
      <c r="E168" s="30"/>
      <c r="F168" s="3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20"/>
      <c r="B169" s="20"/>
      <c r="C169" s="20"/>
      <c r="D169" s="20"/>
      <c r="E169" s="30"/>
      <c r="F169" s="3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20"/>
      <c r="B170" s="20"/>
      <c r="C170" s="20"/>
      <c r="D170" s="20"/>
      <c r="E170" s="30"/>
      <c r="F170" s="3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20"/>
      <c r="B171" s="20"/>
      <c r="C171" s="20"/>
      <c r="D171" s="20"/>
      <c r="E171" s="30"/>
      <c r="F171" s="3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20"/>
      <c r="B172" s="20"/>
      <c r="C172" s="20"/>
      <c r="D172" s="20"/>
      <c r="E172" s="30"/>
      <c r="F172" s="3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20"/>
      <c r="B173" s="20"/>
      <c r="C173" s="20"/>
      <c r="D173" s="20"/>
      <c r="E173" s="30"/>
      <c r="F173" s="3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20"/>
      <c r="B174" s="20"/>
      <c r="C174" s="20"/>
      <c r="D174" s="20"/>
      <c r="E174" s="30"/>
      <c r="F174" s="3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20"/>
      <c r="B175" s="20"/>
      <c r="C175" s="20"/>
      <c r="D175" s="20"/>
      <c r="E175" s="30"/>
      <c r="F175" s="3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20"/>
      <c r="B176" s="20"/>
      <c r="C176" s="20"/>
      <c r="D176" s="20"/>
      <c r="E176" s="30"/>
      <c r="F176" s="3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20"/>
      <c r="B177" s="20"/>
      <c r="C177" s="20"/>
      <c r="D177" s="20"/>
      <c r="E177" s="30"/>
      <c r="F177" s="3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20"/>
      <c r="B178" s="20"/>
      <c r="C178" s="20"/>
      <c r="D178" s="20"/>
      <c r="E178" s="30"/>
      <c r="F178" s="3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20"/>
      <c r="B179" s="20"/>
      <c r="C179" s="20"/>
      <c r="D179" s="20"/>
      <c r="E179" s="30"/>
      <c r="F179" s="3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20"/>
      <c r="B180" s="20"/>
      <c r="C180" s="20"/>
      <c r="D180" s="20"/>
      <c r="E180" s="30"/>
      <c r="F180" s="3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20"/>
      <c r="B181" s="20"/>
      <c r="C181" s="20"/>
      <c r="D181" s="20"/>
      <c r="E181" s="30"/>
      <c r="F181" s="3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20"/>
      <c r="B182" s="20"/>
      <c r="C182" s="20"/>
      <c r="D182" s="20"/>
      <c r="E182" s="30"/>
      <c r="F182" s="3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20"/>
      <c r="B183" s="20"/>
      <c r="C183" s="20"/>
      <c r="D183" s="20"/>
      <c r="E183" s="30"/>
      <c r="F183" s="3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20"/>
      <c r="B184" s="20"/>
      <c r="C184" s="20"/>
      <c r="D184" s="20"/>
      <c r="E184" s="30"/>
      <c r="F184" s="3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20"/>
      <c r="B185" s="20"/>
      <c r="C185" s="20"/>
      <c r="D185" s="20"/>
      <c r="E185" s="30"/>
      <c r="F185" s="3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20"/>
      <c r="B186" s="20"/>
      <c r="C186" s="20"/>
      <c r="D186" s="20"/>
      <c r="E186" s="30"/>
      <c r="F186" s="3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20"/>
      <c r="B187" s="20"/>
      <c r="C187" s="20"/>
      <c r="D187" s="20"/>
      <c r="E187" s="30"/>
      <c r="F187" s="3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20"/>
      <c r="B188" s="20"/>
      <c r="C188" s="20"/>
      <c r="D188" s="20"/>
      <c r="E188" s="30"/>
      <c r="F188" s="3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20"/>
      <c r="B189" s="20"/>
      <c r="C189" s="20"/>
      <c r="D189" s="20"/>
      <c r="E189" s="30"/>
      <c r="F189" s="3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20"/>
      <c r="B190" s="20"/>
      <c r="C190" s="20"/>
      <c r="D190" s="20"/>
      <c r="E190" s="30"/>
      <c r="F190" s="3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20"/>
      <c r="B191" s="20"/>
      <c r="C191" s="20"/>
      <c r="D191" s="20"/>
      <c r="E191" s="30"/>
      <c r="F191" s="3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20"/>
      <c r="B192" s="20"/>
      <c r="C192" s="20"/>
      <c r="D192" s="20"/>
      <c r="E192" s="30"/>
      <c r="F192" s="3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20"/>
      <c r="B193" s="20"/>
      <c r="C193" s="20"/>
      <c r="D193" s="20"/>
      <c r="E193" s="30"/>
      <c r="F193" s="3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20"/>
      <c r="B194" s="20"/>
      <c r="C194" s="20"/>
      <c r="D194" s="20"/>
      <c r="E194" s="30"/>
      <c r="F194" s="3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20"/>
      <c r="B195" s="20"/>
      <c r="C195" s="20"/>
      <c r="D195" s="20"/>
      <c r="E195" s="30"/>
      <c r="F195" s="3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20"/>
      <c r="B196" s="20"/>
      <c r="C196" s="20"/>
      <c r="D196" s="20"/>
      <c r="E196" s="30"/>
      <c r="F196" s="3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20"/>
      <c r="B197" s="20"/>
      <c r="C197" s="20"/>
      <c r="D197" s="20"/>
      <c r="E197" s="30"/>
      <c r="F197" s="3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20"/>
      <c r="B198" s="20"/>
      <c r="C198" s="20"/>
      <c r="D198" s="20"/>
      <c r="E198" s="30"/>
      <c r="F198" s="3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20"/>
      <c r="B199" s="20"/>
      <c r="C199" s="20"/>
      <c r="D199" s="20"/>
      <c r="E199" s="30"/>
      <c r="F199" s="3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20"/>
      <c r="B200" s="20"/>
      <c r="C200" s="20"/>
      <c r="D200" s="20"/>
      <c r="E200" s="30"/>
      <c r="F200" s="3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20"/>
      <c r="B201" s="20"/>
      <c r="C201" s="20"/>
      <c r="D201" s="20"/>
      <c r="E201" s="30"/>
      <c r="F201" s="3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20"/>
      <c r="B202" s="20"/>
      <c r="C202" s="20"/>
      <c r="D202" s="20"/>
      <c r="E202" s="30"/>
      <c r="F202" s="3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20"/>
      <c r="B203" s="20"/>
      <c r="C203" s="20"/>
      <c r="D203" s="20"/>
      <c r="E203" s="30"/>
      <c r="F203" s="3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20"/>
      <c r="B204" s="20"/>
      <c r="C204" s="20"/>
      <c r="D204" s="20"/>
      <c r="E204" s="30"/>
      <c r="F204" s="3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20"/>
      <c r="B205" s="20"/>
      <c r="C205" s="20"/>
      <c r="D205" s="20"/>
      <c r="E205" s="30"/>
      <c r="F205" s="3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20"/>
      <c r="B206" s="20"/>
      <c r="C206" s="20"/>
      <c r="D206" s="20"/>
      <c r="E206" s="30"/>
      <c r="F206" s="3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20"/>
      <c r="B207" s="20"/>
      <c r="C207" s="20"/>
      <c r="D207" s="20"/>
      <c r="E207" s="30"/>
      <c r="F207" s="3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20"/>
      <c r="B208" s="20"/>
      <c r="C208" s="20"/>
      <c r="D208" s="20"/>
      <c r="E208" s="30"/>
      <c r="F208" s="3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20"/>
      <c r="B209" s="20"/>
      <c r="C209" s="20"/>
      <c r="D209" s="20"/>
      <c r="E209" s="30"/>
      <c r="F209" s="3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20"/>
      <c r="B210" s="20"/>
      <c r="C210" s="20"/>
      <c r="D210" s="20"/>
      <c r="E210" s="30"/>
      <c r="F210" s="3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20"/>
      <c r="B211" s="20"/>
      <c r="C211" s="20"/>
      <c r="D211" s="20"/>
      <c r="E211" s="30"/>
      <c r="F211" s="3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20"/>
      <c r="B212" s="20"/>
      <c r="C212" s="20"/>
      <c r="D212" s="20"/>
      <c r="E212" s="30"/>
      <c r="F212" s="3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20"/>
      <c r="B213" s="20"/>
      <c r="C213" s="20"/>
      <c r="D213" s="20"/>
      <c r="E213" s="30"/>
      <c r="F213" s="3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20"/>
      <c r="B214" s="20"/>
      <c r="C214" s="20"/>
      <c r="D214" s="20"/>
      <c r="E214" s="30"/>
      <c r="F214" s="3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20"/>
      <c r="B215" s="20"/>
      <c r="C215" s="20"/>
      <c r="D215" s="20"/>
      <c r="E215" s="30"/>
      <c r="F215" s="3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20"/>
      <c r="B216" s="20"/>
      <c r="C216" s="20"/>
      <c r="D216" s="20"/>
      <c r="E216" s="30"/>
      <c r="F216" s="3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20"/>
      <c r="B217" s="20"/>
      <c r="C217" s="20"/>
      <c r="D217" s="20"/>
      <c r="E217" s="30"/>
      <c r="F217" s="3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20"/>
      <c r="B218" s="20"/>
      <c r="C218" s="20"/>
      <c r="D218" s="20"/>
      <c r="E218" s="30"/>
      <c r="F218" s="3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20"/>
      <c r="B219" s="20"/>
      <c r="C219" s="20"/>
      <c r="D219" s="20"/>
      <c r="E219" s="30"/>
      <c r="F219" s="3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20"/>
      <c r="B220" s="20"/>
      <c r="C220" s="20"/>
      <c r="D220" s="20"/>
      <c r="E220" s="30"/>
      <c r="F220" s="3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20"/>
      <c r="B221" s="20"/>
      <c r="C221" s="20"/>
      <c r="D221" s="20"/>
      <c r="E221" s="30"/>
      <c r="F221" s="3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20"/>
      <c r="B222" s="20"/>
      <c r="C222" s="20"/>
      <c r="D222" s="20"/>
      <c r="E222" s="30"/>
      <c r="F222" s="3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5">
      <c r="A223" s="20"/>
      <c r="B223" s="20"/>
      <c r="C223" s="20"/>
      <c r="D223" s="20"/>
      <c r="E223" s="30"/>
      <c r="F223" s="3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5">
      <c r="A224" s="20"/>
      <c r="B224" s="20"/>
      <c r="C224" s="20"/>
      <c r="D224" s="20"/>
      <c r="E224" s="30"/>
      <c r="F224" s="3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5">
      <c r="A225" s="20"/>
      <c r="B225" s="20"/>
      <c r="C225" s="20"/>
      <c r="D225" s="20"/>
      <c r="E225" s="30"/>
      <c r="F225" s="3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5">
      <c r="A226" s="20"/>
      <c r="B226" s="20"/>
      <c r="C226" s="20"/>
      <c r="D226" s="20"/>
      <c r="E226" s="30"/>
      <c r="F226" s="3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5">
      <c r="A227" s="20"/>
      <c r="B227" s="20"/>
      <c r="C227" s="20"/>
      <c r="D227" s="20"/>
      <c r="E227" s="30"/>
      <c r="F227" s="3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5">
      <c r="A228" s="20"/>
      <c r="B228" s="20"/>
      <c r="C228" s="20"/>
      <c r="D228" s="20"/>
      <c r="E228" s="30"/>
      <c r="F228" s="3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5">
      <c r="A229" s="20"/>
      <c r="B229" s="20"/>
      <c r="C229" s="20"/>
      <c r="D229" s="20"/>
      <c r="E229" s="30"/>
      <c r="F229" s="3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5">
      <c r="A230" s="20"/>
      <c r="B230" s="20"/>
      <c r="C230" s="20"/>
      <c r="D230" s="20"/>
      <c r="E230" s="30"/>
      <c r="F230" s="3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5">
      <c r="A231" s="20"/>
      <c r="B231" s="20"/>
      <c r="C231" s="20"/>
      <c r="D231" s="20"/>
      <c r="E231" s="30"/>
      <c r="F231" s="3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5">
      <c r="A232" s="20"/>
      <c r="B232" s="20"/>
      <c r="C232" s="20"/>
      <c r="D232" s="20"/>
      <c r="E232" s="30"/>
      <c r="F232" s="3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5">
      <c r="A233" s="20"/>
      <c r="B233" s="20"/>
      <c r="C233" s="20"/>
      <c r="D233" s="20"/>
      <c r="E233" s="30"/>
      <c r="F233" s="3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5">
      <c r="A234" s="20"/>
      <c r="B234" s="20"/>
      <c r="C234" s="20"/>
      <c r="D234" s="20"/>
      <c r="E234" s="30"/>
      <c r="F234" s="3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5">
      <c r="A235" s="20"/>
      <c r="B235" s="20"/>
      <c r="C235" s="20"/>
      <c r="D235" s="20"/>
      <c r="E235" s="30"/>
      <c r="F235" s="3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5">
      <c r="A236" s="20"/>
      <c r="B236" s="20"/>
      <c r="C236" s="20"/>
      <c r="D236" s="20"/>
      <c r="E236" s="30"/>
      <c r="F236" s="3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5">
      <c r="A237" s="20"/>
      <c r="B237" s="20"/>
      <c r="C237" s="20"/>
      <c r="D237" s="20"/>
      <c r="E237" s="30"/>
      <c r="F237" s="3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5">
      <c r="A238" s="20"/>
      <c r="B238" s="20"/>
      <c r="C238" s="20"/>
      <c r="D238" s="20"/>
      <c r="E238" s="30"/>
      <c r="F238" s="3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5">
      <c r="A239" s="20"/>
      <c r="B239" s="20"/>
      <c r="C239" s="20"/>
      <c r="D239" s="20"/>
      <c r="E239" s="30"/>
      <c r="F239" s="3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5">
      <c r="A240" s="20"/>
      <c r="B240" s="20"/>
      <c r="C240" s="20"/>
      <c r="D240" s="20"/>
      <c r="E240" s="30"/>
      <c r="F240" s="3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5">
      <c r="A241" s="20"/>
      <c r="B241" s="20"/>
      <c r="C241" s="20"/>
      <c r="D241" s="20"/>
      <c r="E241" s="30"/>
      <c r="F241" s="3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5">
      <c r="A242" s="20"/>
      <c r="B242" s="20"/>
      <c r="C242" s="20"/>
      <c r="D242" s="20"/>
      <c r="E242" s="30"/>
      <c r="F242" s="3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5">
      <c r="A243" s="20"/>
      <c r="B243" s="20"/>
      <c r="C243" s="20"/>
      <c r="D243" s="20"/>
      <c r="E243" s="30"/>
      <c r="F243" s="3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5">
      <c r="A244" s="20"/>
      <c r="B244" s="20"/>
      <c r="C244" s="20"/>
      <c r="D244" s="20"/>
      <c r="E244" s="30"/>
      <c r="F244" s="3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5">
      <c r="A245" s="20"/>
      <c r="B245" s="20"/>
      <c r="C245" s="20"/>
      <c r="D245" s="20"/>
      <c r="E245" s="30"/>
      <c r="F245" s="3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5">
      <c r="A246" s="20"/>
      <c r="B246" s="20"/>
      <c r="C246" s="20"/>
      <c r="D246" s="20"/>
      <c r="E246" s="30"/>
      <c r="F246" s="3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5">
      <c r="A247" s="20"/>
      <c r="B247" s="20"/>
      <c r="C247" s="20"/>
      <c r="D247" s="20"/>
      <c r="E247" s="30"/>
      <c r="F247" s="3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5">
      <c r="A248" s="20"/>
      <c r="B248" s="20"/>
      <c r="C248" s="20"/>
      <c r="D248" s="20"/>
      <c r="E248" s="30"/>
      <c r="F248" s="3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5">
      <c r="A249" s="20"/>
      <c r="B249" s="20"/>
      <c r="C249" s="20"/>
      <c r="D249" s="20"/>
      <c r="E249" s="30"/>
      <c r="F249" s="3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5">
      <c r="A250" s="20"/>
      <c r="B250" s="20"/>
      <c r="C250" s="20"/>
      <c r="D250" s="20"/>
      <c r="E250" s="30"/>
      <c r="F250" s="3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5">
      <c r="A251" s="20"/>
      <c r="B251" s="20"/>
      <c r="C251" s="20"/>
      <c r="D251" s="20"/>
      <c r="E251" s="30"/>
      <c r="F251" s="3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5">
      <c r="A252" s="20"/>
      <c r="B252" s="20"/>
      <c r="C252" s="20"/>
      <c r="D252" s="20"/>
      <c r="E252" s="30"/>
      <c r="F252" s="3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5">
      <c r="A253" s="20"/>
      <c r="B253" s="20"/>
      <c r="C253" s="20"/>
      <c r="D253" s="20"/>
      <c r="E253" s="30"/>
      <c r="F253" s="3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5">
      <c r="A254" s="20"/>
      <c r="B254" s="20"/>
      <c r="C254" s="20"/>
      <c r="D254" s="20"/>
      <c r="E254" s="30"/>
      <c r="F254" s="3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5">
      <c r="A255" s="20"/>
      <c r="B255" s="20"/>
      <c r="C255" s="20"/>
      <c r="D255" s="20"/>
      <c r="E255" s="30"/>
      <c r="F255" s="3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5">
      <c r="A256" s="20"/>
      <c r="B256" s="20"/>
      <c r="C256" s="20"/>
      <c r="D256" s="20"/>
      <c r="E256" s="30"/>
      <c r="F256" s="3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5">
      <c r="A257" s="20"/>
      <c r="B257" s="20"/>
      <c r="C257" s="20"/>
      <c r="D257" s="20"/>
      <c r="E257" s="30"/>
      <c r="F257" s="3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5">
      <c r="A258" s="20"/>
      <c r="B258" s="20"/>
      <c r="C258" s="20"/>
      <c r="D258" s="20"/>
      <c r="E258" s="30"/>
      <c r="F258" s="3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5">
      <c r="A259" s="20"/>
      <c r="B259" s="20"/>
      <c r="C259" s="20"/>
      <c r="D259" s="20"/>
      <c r="E259" s="30"/>
      <c r="F259" s="3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5">
      <c r="A260" s="20"/>
      <c r="B260" s="20"/>
      <c r="C260" s="20"/>
      <c r="D260" s="20"/>
      <c r="E260" s="30"/>
      <c r="F260" s="3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5">
      <c r="A261" s="20"/>
      <c r="B261" s="20"/>
      <c r="C261" s="20"/>
      <c r="D261" s="20"/>
      <c r="E261" s="30"/>
      <c r="F261" s="3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5">
      <c r="A262" s="20"/>
      <c r="B262" s="20"/>
      <c r="C262" s="20"/>
      <c r="D262" s="20"/>
      <c r="E262" s="30"/>
      <c r="F262" s="3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5">
      <c r="A263" s="20"/>
      <c r="B263" s="20"/>
      <c r="C263" s="20"/>
      <c r="D263" s="20"/>
      <c r="E263" s="30"/>
      <c r="F263" s="3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5">
      <c r="A264" s="20"/>
      <c r="B264" s="20"/>
      <c r="C264" s="20"/>
      <c r="D264" s="20"/>
      <c r="E264" s="30"/>
      <c r="F264" s="3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5">
      <c r="A265" s="20"/>
      <c r="B265" s="20"/>
      <c r="C265" s="20"/>
      <c r="D265" s="20"/>
      <c r="E265" s="30"/>
      <c r="F265" s="3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5">
      <c r="A266" s="20"/>
      <c r="B266" s="20"/>
      <c r="C266" s="20"/>
      <c r="D266" s="20"/>
      <c r="E266" s="30"/>
      <c r="F266" s="3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5">
      <c r="A267" s="20"/>
      <c r="B267" s="20"/>
      <c r="C267" s="20"/>
      <c r="D267" s="20"/>
      <c r="E267" s="30"/>
      <c r="F267" s="3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5">
      <c r="A268" s="20"/>
      <c r="B268" s="20"/>
      <c r="C268" s="20"/>
      <c r="D268" s="20"/>
      <c r="E268" s="30"/>
      <c r="F268" s="3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5">
      <c r="A269" s="20"/>
      <c r="B269" s="20"/>
      <c r="C269" s="20"/>
      <c r="D269" s="20"/>
      <c r="E269" s="30"/>
      <c r="F269" s="3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5">
      <c r="A270" s="20"/>
      <c r="B270" s="20"/>
      <c r="C270" s="20"/>
      <c r="D270" s="20"/>
      <c r="E270" s="30"/>
      <c r="F270" s="3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5">
      <c r="A271" s="20"/>
      <c r="B271" s="20"/>
      <c r="C271" s="20"/>
      <c r="D271" s="20"/>
      <c r="E271" s="30"/>
      <c r="F271" s="3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5">
      <c r="A272" s="20"/>
      <c r="B272" s="20"/>
      <c r="C272" s="20"/>
      <c r="D272" s="20"/>
      <c r="E272" s="30"/>
      <c r="F272" s="3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5">
      <c r="A273" s="20"/>
      <c r="B273" s="20"/>
      <c r="C273" s="20"/>
      <c r="D273" s="20"/>
      <c r="E273" s="30"/>
      <c r="F273" s="3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5">
      <c r="A274" s="20"/>
      <c r="B274" s="20"/>
      <c r="C274" s="20"/>
      <c r="D274" s="20"/>
      <c r="E274" s="30"/>
      <c r="F274" s="3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5">
      <c r="A275" s="20"/>
      <c r="B275" s="20"/>
      <c r="C275" s="20"/>
      <c r="D275" s="20"/>
      <c r="E275" s="30"/>
      <c r="F275" s="3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5">
      <c r="A276" s="20"/>
      <c r="B276" s="20"/>
      <c r="C276" s="20"/>
      <c r="D276" s="20"/>
      <c r="E276" s="30"/>
      <c r="F276" s="3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5">
      <c r="A277" s="20"/>
      <c r="B277" s="20"/>
      <c r="C277" s="20"/>
      <c r="D277" s="20"/>
      <c r="E277" s="30"/>
      <c r="F277" s="3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5">
      <c r="A278" s="20"/>
      <c r="B278" s="20"/>
      <c r="C278" s="20"/>
      <c r="D278" s="20"/>
      <c r="E278" s="30"/>
      <c r="F278" s="3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5">
      <c r="A279" s="20"/>
      <c r="B279" s="20"/>
      <c r="C279" s="20"/>
      <c r="D279" s="20"/>
      <c r="E279" s="30"/>
      <c r="F279" s="3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5">
      <c r="A280" s="20"/>
      <c r="B280" s="20"/>
      <c r="C280" s="20"/>
      <c r="D280" s="20"/>
      <c r="E280" s="30"/>
      <c r="F280" s="3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5">
      <c r="A281" s="20"/>
      <c r="B281" s="20"/>
      <c r="C281" s="20"/>
      <c r="D281" s="20"/>
      <c r="E281" s="30"/>
      <c r="F281" s="3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5">
      <c r="A282" s="20"/>
      <c r="B282" s="20"/>
      <c r="C282" s="20"/>
      <c r="D282" s="20"/>
      <c r="E282" s="30"/>
      <c r="F282" s="3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5">
      <c r="A283" s="20"/>
      <c r="B283" s="20"/>
      <c r="C283" s="20"/>
      <c r="D283" s="20"/>
      <c r="E283" s="30"/>
      <c r="F283" s="3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5">
      <c r="A284" s="20"/>
      <c r="B284" s="20"/>
      <c r="C284" s="20"/>
      <c r="D284" s="20"/>
      <c r="E284" s="30"/>
      <c r="F284" s="3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5">
      <c r="A285" s="20"/>
      <c r="B285" s="20"/>
      <c r="C285" s="20"/>
      <c r="D285" s="20"/>
      <c r="E285" s="30"/>
      <c r="F285" s="3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5">
      <c r="A286" s="20"/>
      <c r="B286" s="20"/>
      <c r="C286" s="20"/>
      <c r="D286" s="20"/>
      <c r="E286" s="30"/>
      <c r="F286" s="3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5">
      <c r="A287" s="20"/>
      <c r="B287" s="20"/>
      <c r="C287" s="20"/>
      <c r="D287" s="20"/>
      <c r="E287" s="30"/>
      <c r="F287" s="3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5">
      <c r="A288" s="20"/>
      <c r="B288" s="20"/>
      <c r="C288" s="20"/>
      <c r="D288" s="20"/>
      <c r="E288" s="30"/>
      <c r="F288" s="3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5">
      <c r="A289" s="20"/>
      <c r="B289" s="20"/>
      <c r="C289" s="20"/>
      <c r="D289" s="20"/>
      <c r="E289" s="30"/>
      <c r="F289" s="3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5">
      <c r="A290" s="20"/>
      <c r="B290" s="20"/>
      <c r="C290" s="20"/>
      <c r="D290" s="20"/>
      <c r="E290" s="30"/>
      <c r="F290" s="3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5">
      <c r="A291" s="20"/>
      <c r="B291" s="20"/>
      <c r="C291" s="20"/>
      <c r="D291" s="20"/>
      <c r="E291" s="30"/>
      <c r="F291" s="3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5">
      <c r="A292" s="20"/>
      <c r="B292" s="20"/>
      <c r="C292" s="20"/>
      <c r="D292" s="20"/>
      <c r="E292" s="30"/>
      <c r="F292" s="3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5">
      <c r="A293" s="20"/>
      <c r="B293" s="20"/>
      <c r="C293" s="20"/>
      <c r="D293" s="20"/>
      <c r="E293" s="30"/>
      <c r="F293" s="3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5">
      <c r="A294" s="20"/>
      <c r="B294" s="20"/>
      <c r="C294" s="20"/>
      <c r="D294" s="20"/>
      <c r="E294" s="30"/>
      <c r="F294" s="3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5">
      <c r="A295" s="20"/>
      <c r="B295" s="20"/>
      <c r="C295" s="20"/>
      <c r="D295" s="20"/>
      <c r="E295" s="30"/>
      <c r="F295" s="3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5">
      <c r="A296" s="20"/>
      <c r="B296" s="20"/>
      <c r="C296" s="20"/>
      <c r="D296" s="20"/>
      <c r="E296" s="30"/>
      <c r="F296" s="3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5">
      <c r="A297" s="20"/>
      <c r="B297" s="20"/>
      <c r="C297" s="20"/>
      <c r="D297" s="20"/>
      <c r="E297" s="30"/>
      <c r="F297" s="3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5">
      <c r="A298" s="20"/>
      <c r="B298" s="20"/>
      <c r="C298" s="20"/>
      <c r="D298" s="20"/>
      <c r="E298" s="30"/>
      <c r="F298" s="3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5">
      <c r="A299" s="20"/>
      <c r="B299" s="20"/>
      <c r="C299" s="20"/>
      <c r="D299" s="20"/>
      <c r="E299" s="30"/>
      <c r="F299" s="3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5">
      <c r="A300" s="20"/>
      <c r="B300" s="20"/>
      <c r="C300" s="20"/>
      <c r="D300" s="20"/>
      <c r="E300" s="30"/>
      <c r="F300" s="3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5">
      <c r="A301" s="20"/>
      <c r="B301" s="20"/>
      <c r="C301" s="20"/>
      <c r="D301" s="20"/>
      <c r="E301" s="30"/>
      <c r="F301" s="3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5">
      <c r="A302" s="20"/>
      <c r="B302" s="20"/>
      <c r="C302" s="20"/>
      <c r="D302" s="20"/>
      <c r="E302" s="30"/>
      <c r="F302" s="3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5">
      <c r="A303" s="20"/>
      <c r="B303" s="20"/>
      <c r="C303" s="20"/>
      <c r="D303" s="20"/>
      <c r="E303" s="30"/>
      <c r="F303" s="3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5">
      <c r="A304" s="20"/>
      <c r="B304" s="20"/>
      <c r="C304" s="20"/>
      <c r="D304" s="20"/>
      <c r="E304" s="30"/>
      <c r="F304" s="3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5">
      <c r="A305" s="20"/>
      <c r="B305" s="20"/>
      <c r="C305" s="20"/>
      <c r="D305" s="20"/>
      <c r="E305" s="30"/>
      <c r="F305" s="3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5">
      <c r="A306" s="20"/>
      <c r="B306" s="20"/>
      <c r="C306" s="20"/>
      <c r="D306" s="20"/>
      <c r="E306" s="30"/>
      <c r="F306" s="3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5">
      <c r="A307" s="20"/>
      <c r="B307" s="20"/>
      <c r="C307" s="20"/>
      <c r="D307" s="20"/>
      <c r="E307" s="30"/>
      <c r="F307" s="3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5">
      <c r="A308" s="20"/>
      <c r="B308" s="20"/>
      <c r="C308" s="20"/>
      <c r="D308" s="20"/>
      <c r="E308" s="30"/>
      <c r="F308" s="3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5">
      <c r="A309" s="20"/>
      <c r="B309" s="20"/>
      <c r="C309" s="20"/>
      <c r="D309" s="20"/>
      <c r="E309" s="30"/>
      <c r="F309" s="3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5">
      <c r="A310" s="20"/>
      <c r="B310" s="20"/>
      <c r="C310" s="20"/>
      <c r="D310" s="20"/>
      <c r="E310" s="30"/>
      <c r="F310" s="3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5">
      <c r="A311" s="20"/>
      <c r="B311" s="20"/>
      <c r="C311" s="20"/>
      <c r="D311" s="20"/>
      <c r="E311" s="30"/>
      <c r="F311" s="3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5">
      <c r="A312" s="20"/>
      <c r="B312" s="20"/>
      <c r="C312" s="20"/>
      <c r="D312" s="20"/>
      <c r="E312" s="30"/>
      <c r="F312" s="3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5">
      <c r="A313" s="20"/>
      <c r="B313" s="20"/>
      <c r="C313" s="20"/>
      <c r="D313" s="20"/>
      <c r="E313" s="30"/>
      <c r="F313" s="3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5">
      <c r="A314" s="20"/>
      <c r="B314" s="20"/>
      <c r="C314" s="20"/>
      <c r="D314" s="20"/>
      <c r="E314" s="30"/>
      <c r="F314" s="3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5">
      <c r="A315" s="20"/>
      <c r="B315" s="20"/>
      <c r="C315" s="20"/>
      <c r="D315" s="20"/>
      <c r="E315" s="30"/>
      <c r="F315" s="3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5">
      <c r="A316" s="20"/>
      <c r="B316" s="20"/>
      <c r="C316" s="20"/>
      <c r="D316" s="20"/>
      <c r="E316" s="30"/>
      <c r="F316" s="3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5">
      <c r="A317" s="20"/>
      <c r="B317" s="20"/>
      <c r="C317" s="20"/>
      <c r="D317" s="20"/>
      <c r="E317" s="30"/>
      <c r="F317" s="3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5">
      <c r="A318" s="20"/>
      <c r="B318" s="20"/>
      <c r="C318" s="20"/>
      <c r="D318" s="20"/>
      <c r="E318" s="30"/>
      <c r="F318" s="3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5">
      <c r="A319" s="20"/>
      <c r="B319" s="20"/>
      <c r="C319" s="20"/>
      <c r="D319" s="20"/>
      <c r="E319" s="30"/>
      <c r="F319" s="3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5">
      <c r="A320" s="20"/>
      <c r="B320" s="20"/>
      <c r="C320" s="20"/>
      <c r="D320" s="20"/>
      <c r="E320" s="30"/>
      <c r="F320" s="3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5">
      <c r="A321" s="20"/>
      <c r="B321" s="20"/>
      <c r="C321" s="20"/>
      <c r="D321" s="20"/>
      <c r="E321" s="30"/>
      <c r="F321" s="3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5">
      <c r="A322" s="20"/>
      <c r="B322" s="20"/>
      <c r="C322" s="20"/>
      <c r="D322" s="20"/>
      <c r="E322" s="30"/>
      <c r="F322" s="3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5">
      <c r="A323" s="20"/>
      <c r="B323" s="20"/>
      <c r="C323" s="20"/>
      <c r="D323" s="20"/>
      <c r="E323" s="30"/>
      <c r="F323" s="3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5">
      <c r="A324" s="20"/>
      <c r="B324" s="20"/>
      <c r="C324" s="20"/>
      <c r="D324" s="20"/>
      <c r="E324" s="30"/>
      <c r="F324" s="3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5">
      <c r="A325" s="20"/>
      <c r="B325" s="20"/>
      <c r="C325" s="20"/>
      <c r="D325" s="20"/>
      <c r="E325" s="30"/>
      <c r="F325" s="3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5">
      <c r="A326" s="20"/>
      <c r="B326" s="20"/>
      <c r="C326" s="20"/>
      <c r="D326" s="20"/>
      <c r="E326" s="30"/>
      <c r="F326" s="3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5">
      <c r="A327" s="20"/>
      <c r="B327" s="20"/>
      <c r="C327" s="20"/>
      <c r="D327" s="20"/>
      <c r="E327" s="30"/>
      <c r="F327" s="3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5">
      <c r="A328" s="20"/>
      <c r="B328" s="20"/>
      <c r="C328" s="20"/>
      <c r="D328" s="20"/>
      <c r="E328" s="30"/>
      <c r="F328" s="3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5">
      <c r="A329" s="20"/>
      <c r="B329" s="20"/>
      <c r="C329" s="20"/>
      <c r="D329" s="20"/>
      <c r="E329" s="30"/>
      <c r="F329" s="3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5">
      <c r="A330" s="20"/>
      <c r="B330" s="20"/>
      <c r="C330" s="20"/>
      <c r="D330" s="20"/>
      <c r="E330" s="30"/>
      <c r="F330" s="3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5">
      <c r="A331" s="20"/>
      <c r="B331" s="20"/>
      <c r="C331" s="20"/>
      <c r="D331" s="20"/>
      <c r="E331" s="30"/>
      <c r="F331" s="3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5">
      <c r="A332" s="20"/>
      <c r="B332" s="20"/>
      <c r="C332" s="20"/>
      <c r="D332" s="20"/>
      <c r="E332" s="30"/>
      <c r="F332" s="3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5">
      <c r="A333" s="20"/>
      <c r="B333" s="20"/>
      <c r="C333" s="20"/>
      <c r="D333" s="20"/>
      <c r="E333" s="30"/>
      <c r="F333" s="3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5">
      <c r="A334" s="20"/>
      <c r="B334" s="20"/>
      <c r="C334" s="20"/>
      <c r="D334" s="20"/>
      <c r="E334" s="30"/>
      <c r="F334" s="3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5">
      <c r="A335" s="20"/>
      <c r="B335" s="20"/>
      <c r="C335" s="20"/>
      <c r="D335" s="20"/>
      <c r="E335" s="30"/>
      <c r="F335" s="3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5">
      <c r="A336" s="20"/>
      <c r="B336" s="20"/>
      <c r="C336" s="20"/>
      <c r="D336" s="20"/>
      <c r="E336" s="30"/>
      <c r="F336" s="3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5">
      <c r="A337" s="20"/>
      <c r="B337" s="20"/>
      <c r="C337" s="20"/>
      <c r="D337" s="20"/>
      <c r="E337" s="30"/>
      <c r="F337" s="3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5">
      <c r="A338" s="20"/>
      <c r="B338" s="20"/>
      <c r="C338" s="20"/>
      <c r="D338" s="20"/>
      <c r="E338" s="30"/>
      <c r="F338" s="3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5">
      <c r="A339" s="20"/>
      <c r="B339" s="20"/>
      <c r="C339" s="20"/>
      <c r="D339" s="20"/>
      <c r="E339" s="30"/>
      <c r="F339" s="3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5">
      <c r="A340" s="20"/>
      <c r="B340" s="20"/>
      <c r="C340" s="20"/>
      <c r="D340" s="20"/>
      <c r="E340" s="30"/>
      <c r="F340" s="3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5">
      <c r="A341" s="20"/>
      <c r="B341" s="20"/>
      <c r="C341" s="20"/>
      <c r="D341" s="20"/>
      <c r="E341" s="30"/>
      <c r="F341" s="3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5">
      <c r="A342" s="20"/>
      <c r="B342" s="20"/>
      <c r="C342" s="20"/>
      <c r="D342" s="20"/>
      <c r="E342" s="30"/>
      <c r="F342" s="3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5">
      <c r="A343" s="20"/>
      <c r="B343" s="20"/>
      <c r="C343" s="20"/>
      <c r="D343" s="20"/>
      <c r="E343" s="30"/>
      <c r="F343" s="3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5">
      <c r="A344" s="20"/>
      <c r="B344" s="20"/>
      <c r="C344" s="20"/>
      <c r="D344" s="20"/>
      <c r="E344" s="30"/>
      <c r="F344" s="3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5">
      <c r="A345" s="20"/>
      <c r="B345" s="20"/>
      <c r="C345" s="20"/>
      <c r="D345" s="20"/>
      <c r="E345" s="30"/>
      <c r="F345" s="3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5">
      <c r="A346" s="20"/>
      <c r="B346" s="20"/>
      <c r="C346" s="20"/>
      <c r="D346" s="20"/>
      <c r="E346" s="30"/>
      <c r="F346" s="3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5">
      <c r="A347" s="20"/>
      <c r="B347" s="20"/>
      <c r="C347" s="20"/>
      <c r="D347" s="20"/>
      <c r="E347" s="30"/>
      <c r="F347" s="3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5">
      <c r="A348" s="20"/>
      <c r="B348" s="20"/>
      <c r="C348" s="20"/>
      <c r="D348" s="20"/>
      <c r="E348" s="30"/>
      <c r="F348" s="3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5">
      <c r="A349" s="20"/>
      <c r="B349" s="20"/>
      <c r="C349" s="20"/>
      <c r="D349" s="20"/>
      <c r="E349" s="30"/>
      <c r="F349" s="3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5">
      <c r="A350" s="20"/>
      <c r="B350" s="20"/>
      <c r="C350" s="20"/>
      <c r="D350" s="20"/>
      <c r="E350" s="30"/>
      <c r="F350" s="3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5">
      <c r="A351" s="20"/>
      <c r="B351" s="20"/>
      <c r="C351" s="20"/>
      <c r="D351" s="20"/>
      <c r="E351" s="30"/>
      <c r="F351" s="3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5">
      <c r="A352" s="20"/>
      <c r="B352" s="20"/>
      <c r="C352" s="20"/>
      <c r="D352" s="20"/>
      <c r="E352" s="30"/>
      <c r="F352" s="3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5">
      <c r="A353" s="20"/>
      <c r="B353" s="20"/>
      <c r="C353" s="20"/>
      <c r="D353" s="20"/>
      <c r="E353" s="30"/>
      <c r="F353" s="3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5">
      <c r="A354" s="20"/>
      <c r="B354" s="20"/>
      <c r="C354" s="20"/>
      <c r="D354" s="20"/>
      <c r="E354" s="30"/>
      <c r="F354" s="3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5">
      <c r="A355" s="20"/>
      <c r="B355" s="20"/>
      <c r="C355" s="20"/>
      <c r="D355" s="20"/>
      <c r="E355" s="30"/>
      <c r="F355" s="3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5">
      <c r="A356" s="20"/>
      <c r="B356" s="20"/>
      <c r="C356" s="20"/>
      <c r="D356" s="20"/>
      <c r="E356" s="30"/>
      <c r="F356" s="3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5">
      <c r="A357" s="20"/>
      <c r="B357" s="20"/>
      <c r="C357" s="20"/>
      <c r="D357" s="20"/>
      <c r="E357" s="30"/>
      <c r="F357" s="3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5">
      <c r="A358" s="20"/>
      <c r="B358" s="20"/>
      <c r="C358" s="20"/>
      <c r="D358" s="20"/>
      <c r="E358" s="30"/>
      <c r="F358" s="3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5">
      <c r="A359" s="20"/>
      <c r="B359" s="20"/>
      <c r="C359" s="20"/>
      <c r="D359" s="20"/>
      <c r="E359" s="30"/>
      <c r="F359" s="3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5">
      <c r="A360" s="20"/>
      <c r="B360" s="20"/>
      <c r="C360" s="20"/>
      <c r="D360" s="20"/>
      <c r="E360" s="30"/>
      <c r="F360" s="3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5">
      <c r="A361" s="20"/>
      <c r="B361" s="20"/>
      <c r="C361" s="20"/>
      <c r="D361" s="20"/>
      <c r="E361" s="30"/>
      <c r="F361" s="3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5">
      <c r="A362" s="20"/>
      <c r="B362" s="20"/>
      <c r="C362" s="20"/>
      <c r="D362" s="20"/>
      <c r="E362" s="30"/>
      <c r="F362" s="3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5">
      <c r="A363" s="20"/>
      <c r="B363" s="20"/>
      <c r="C363" s="20"/>
      <c r="D363" s="20"/>
      <c r="E363" s="30"/>
      <c r="F363" s="3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5">
      <c r="A364" s="20"/>
      <c r="B364" s="20"/>
      <c r="C364" s="20"/>
      <c r="D364" s="20"/>
      <c r="E364" s="30"/>
      <c r="F364" s="3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5">
      <c r="A365" s="20"/>
      <c r="B365" s="20"/>
      <c r="C365" s="20"/>
      <c r="D365" s="20"/>
      <c r="E365" s="30"/>
      <c r="F365" s="3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5">
      <c r="A366" s="20"/>
      <c r="B366" s="20"/>
      <c r="C366" s="20"/>
      <c r="D366" s="20"/>
      <c r="E366" s="30"/>
      <c r="F366" s="3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5">
      <c r="A367" s="20"/>
      <c r="B367" s="20"/>
      <c r="C367" s="20"/>
      <c r="D367" s="20"/>
      <c r="E367" s="30"/>
      <c r="F367" s="3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5">
      <c r="A368" s="20"/>
      <c r="B368" s="20"/>
      <c r="C368" s="20"/>
      <c r="D368" s="20"/>
      <c r="E368" s="30"/>
      <c r="F368" s="3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5">
      <c r="A369" s="20"/>
      <c r="B369" s="20"/>
      <c r="C369" s="20"/>
      <c r="D369" s="20"/>
      <c r="E369" s="30"/>
      <c r="F369" s="3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5">
      <c r="A370" s="20"/>
      <c r="B370" s="20"/>
      <c r="C370" s="20"/>
      <c r="D370" s="20"/>
      <c r="E370" s="30"/>
      <c r="F370" s="3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5">
      <c r="A371" s="20"/>
      <c r="B371" s="20"/>
      <c r="C371" s="20"/>
      <c r="D371" s="20"/>
      <c r="E371" s="30"/>
      <c r="F371" s="3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5">
      <c r="A372" s="20"/>
      <c r="B372" s="20"/>
      <c r="C372" s="20"/>
      <c r="D372" s="20"/>
      <c r="E372" s="30"/>
      <c r="F372" s="3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5">
      <c r="A373" s="20"/>
      <c r="B373" s="20"/>
      <c r="C373" s="20"/>
      <c r="D373" s="20"/>
      <c r="E373" s="30"/>
      <c r="F373" s="3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5">
      <c r="A374" s="20"/>
      <c r="B374" s="20"/>
      <c r="C374" s="20"/>
      <c r="D374" s="20"/>
      <c r="E374" s="30"/>
      <c r="F374" s="3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5">
      <c r="A375" s="20"/>
      <c r="B375" s="20"/>
      <c r="C375" s="20"/>
      <c r="D375" s="20"/>
      <c r="E375" s="30"/>
      <c r="F375" s="3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5">
      <c r="A376" s="20"/>
      <c r="B376" s="20"/>
      <c r="C376" s="20"/>
      <c r="D376" s="20"/>
      <c r="E376" s="30"/>
      <c r="F376" s="3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5">
      <c r="A377" s="20"/>
      <c r="B377" s="20"/>
      <c r="C377" s="20"/>
      <c r="D377" s="20"/>
      <c r="E377" s="30"/>
      <c r="F377" s="3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5">
      <c r="A378" s="20"/>
      <c r="B378" s="20"/>
      <c r="C378" s="20"/>
      <c r="D378" s="20"/>
      <c r="E378" s="30"/>
      <c r="F378" s="3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5">
      <c r="A379" s="20"/>
      <c r="B379" s="20"/>
      <c r="C379" s="20"/>
      <c r="D379" s="20"/>
      <c r="E379" s="30"/>
      <c r="F379" s="3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5">
      <c r="A380" s="20"/>
      <c r="B380" s="20"/>
      <c r="C380" s="20"/>
      <c r="D380" s="20"/>
      <c r="E380" s="30"/>
      <c r="F380" s="3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5">
      <c r="A381" s="20"/>
      <c r="B381" s="20"/>
      <c r="C381" s="20"/>
      <c r="D381" s="20"/>
      <c r="E381" s="30"/>
      <c r="F381" s="3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5">
      <c r="A382" s="20"/>
      <c r="B382" s="20"/>
      <c r="C382" s="20"/>
      <c r="D382" s="20"/>
      <c r="E382" s="30"/>
      <c r="F382" s="3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5">
      <c r="A383" s="20"/>
      <c r="B383" s="20"/>
      <c r="C383" s="20"/>
      <c r="D383" s="20"/>
      <c r="E383" s="30"/>
      <c r="F383" s="3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5">
      <c r="A384" s="20"/>
      <c r="B384" s="20"/>
      <c r="C384" s="20"/>
      <c r="D384" s="20"/>
      <c r="E384" s="30"/>
      <c r="F384" s="3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5">
      <c r="A385" s="20"/>
      <c r="B385" s="20"/>
      <c r="C385" s="20"/>
      <c r="D385" s="20"/>
      <c r="E385" s="30"/>
      <c r="F385" s="3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5">
      <c r="A386" s="20"/>
      <c r="B386" s="20"/>
      <c r="C386" s="20"/>
      <c r="D386" s="20"/>
      <c r="E386" s="30"/>
      <c r="F386" s="3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5">
      <c r="A387" s="20"/>
      <c r="B387" s="20"/>
      <c r="C387" s="20"/>
      <c r="D387" s="20"/>
      <c r="E387" s="30"/>
      <c r="F387" s="3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5">
      <c r="A388" s="20"/>
      <c r="B388" s="20"/>
      <c r="C388" s="20"/>
      <c r="D388" s="20"/>
      <c r="E388" s="30"/>
      <c r="F388" s="3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5">
      <c r="A389" s="20"/>
      <c r="B389" s="20"/>
      <c r="C389" s="20"/>
      <c r="D389" s="20"/>
      <c r="E389" s="30"/>
      <c r="F389" s="3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5">
      <c r="A390" s="20"/>
      <c r="B390" s="20"/>
      <c r="C390" s="20"/>
      <c r="D390" s="20"/>
      <c r="E390" s="30"/>
      <c r="F390" s="3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5">
      <c r="A391" s="20"/>
      <c r="B391" s="20"/>
      <c r="C391" s="20"/>
      <c r="D391" s="20"/>
      <c r="E391" s="30"/>
      <c r="F391" s="3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5">
      <c r="A392" s="20"/>
      <c r="B392" s="20"/>
      <c r="C392" s="20"/>
      <c r="D392" s="20"/>
      <c r="E392" s="30"/>
      <c r="F392" s="3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5">
      <c r="A393" s="20"/>
      <c r="B393" s="20"/>
      <c r="C393" s="20"/>
      <c r="D393" s="20"/>
      <c r="E393" s="30"/>
      <c r="F393" s="3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5">
      <c r="A394" s="20"/>
      <c r="B394" s="20"/>
      <c r="C394" s="20"/>
      <c r="D394" s="20"/>
      <c r="E394" s="30"/>
      <c r="F394" s="3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5">
      <c r="A395" s="20"/>
      <c r="B395" s="20"/>
      <c r="C395" s="20"/>
      <c r="D395" s="20"/>
      <c r="E395" s="30"/>
      <c r="F395" s="3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5">
      <c r="A396" s="20"/>
      <c r="B396" s="20"/>
      <c r="C396" s="20"/>
      <c r="D396" s="20"/>
      <c r="E396" s="30"/>
      <c r="F396" s="3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5">
      <c r="A397" s="20"/>
      <c r="B397" s="20"/>
      <c r="C397" s="20"/>
      <c r="D397" s="20"/>
      <c r="E397" s="30"/>
      <c r="F397" s="3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5">
      <c r="A398" s="20"/>
      <c r="B398" s="20"/>
      <c r="C398" s="20"/>
      <c r="D398" s="20"/>
      <c r="E398" s="30"/>
      <c r="F398" s="3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5">
      <c r="A399" s="20"/>
      <c r="B399" s="20"/>
      <c r="C399" s="20"/>
      <c r="D399" s="20"/>
      <c r="E399" s="30"/>
      <c r="F399" s="3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5">
      <c r="A400" s="20"/>
      <c r="B400" s="20"/>
      <c r="C400" s="20"/>
      <c r="D400" s="20"/>
      <c r="E400" s="30"/>
      <c r="F400" s="3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5">
      <c r="A401" s="20"/>
      <c r="B401" s="20"/>
      <c r="C401" s="20"/>
      <c r="D401" s="20"/>
      <c r="E401" s="30"/>
      <c r="F401" s="3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5">
      <c r="A402" s="20"/>
      <c r="B402" s="20"/>
      <c r="C402" s="20"/>
      <c r="D402" s="20"/>
      <c r="E402" s="30"/>
      <c r="F402" s="3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5">
      <c r="A403" s="20"/>
      <c r="B403" s="20"/>
      <c r="C403" s="20"/>
      <c r="D403" s="20"/>
      <c r="E403" s="30"/>
      <c r="F403" s="3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5">
      <c r="A404" s="20"/>
      <c r="B404" s="20"/>
      <c r="C404" s="20"/>
      <c r="D404" s="20"/>
      <c r="E404" s="30"/>
      <c r="F404" s="3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5">
      <c r="A405" s="20"/>
      <c r="B405" s="20"/>
      <c r="C405" s="20"/>
      <c r="D405" s="20"/>
      <c r="E405" s="30"/>
      <c r="F405" s="3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5">
      <c r="A406" s="20"/>
      <c r="B406" s="20"/>
      <c r="C406" s="20"/>
      <c r="D406" s="20"/>
      <c r="E406" s="30"/>
      <c r="F406" s="3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5">
      <c r="A407" s="20"/>
      <c r="B407" s="20"/>
      <c r="C407" s="20"/>
      <c r="D407" s="20"/>
      <c r="E407" s="30"/>
      <c r="F407" s="3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5">
      <c r="A408" s="20"/>
      <c r="B408" s="20"/>
      <c r="C408" s="20"/>
      <c r="D408" s="20"/>
      <c r="E408" s="30"/>
      <c r="F408" s="3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5">
      <c r="A409" s="20"/>
      <c r="B409" s="20"/>
      <c r="C409" s="20"/>
      <c r="D409" s="20"/>
      <c r="E409" s="30"/>
      <c r="F409" s="3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5">
      <c r="A410" s="20"/>
      <c r="B410" s="20"/>
      <c r="C410" s="20"/>
      <c r="D410" s="20"/>
      <c r="E410" s="30"/>
      <c r="F410" s="3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5">
      <c r="A411" s="20"/>
      <c r="B411" s="20"/>
      <c r="C411" s="20"/>
      <c r="D411" s="20"/>
      <c r="E411" s="30"/>
      <c r="F411" s="3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5">
      <c r="A412" s="20"/>
      <c r="B412" s="20"/>
      <c r="C412" s="20"/>
      <c r="D412" s="20"/>
      <c r="E412" s="30"/>
      <c r="F412" s="3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5">
      <c r="A413" s="20"/>
      <c r="B413" s="20"/>
      <c r="C413" s="20"/>
      <c r="D413" s="20"/>
      <c r="E413" s="30"/>
      <c r="F413" s="3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5">
      <c r="A414" s="20"/>
      <c r="B414" s="20"/>
      <c r="C414" s="20"/>
      <c r="D414" s="20"/>
      <c r="E414" s="30"/>
      <c r="F414" s="3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5">
      <c r="A415" s="20"/>
      <c r="B415" s="20"/>
      <c r="C415" s="20"/>
      <c r="D415" s="20"/>
      <c r="E415" s="30"/>
      <c r="F415" s="3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5">
      <c r="A416" s="20"/>
      <c r="B416" s="20"/>
      <c r="C416" s="20"/>
      <c r="D416" s="20"/>
      <c r="E416" s="30"/>
      <c r="F416" s="3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5">
      <c r="A417" s="20"/>
      <c r="B417" s="20"/>
      <c r="C417" s="20"/>
      <c r="D417" s="20"/>
      <c r="E417" s="30"/>
      <c r="F417" s="3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5">
      <c r="A418" s="20"/>
      <c r="B418" s="20"/>
      <c r="C418" s="20"/>
      <c r="D418" s="20"/>
      <c r="E418" s="30"/>
      <c r="F418" s="3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5">
      <c r="A419" s="20"/>
      <c r="B419" s="20"/>
      <c r="C419" s="20"/>
      <c r="D419" s="20"/>
      <c r="E419" s="30"/>
      <c r="F419" s="3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5">
      <c r="A420" s="20"/>
      <c r="B420" s="20"/>
      <c r="C420" s="20"/>
      <c r="D420" s="20"/>
      <c r="E420" s="30"/>
      <c r="F420" s="3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5">
      <c r="A421" s="20"/>
      <c r="B421" s="20"/>
      <c r="C421" s="20"/>
      <c r="D421" s="20"/>
      <c r="E421" s="30"/>
      <c r="F421" s="3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5">
      <c r="A422" s="20"/>
      <c r="B422" s="20"/>
      <c r="C422" s="20"/>
      <c r="D422" s="20"/>
      <c r="E422" s="30"/>
      <c r="F422" s="3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5">
      <c r="A423" s="20"/>
      <c r="B423" s="20"/>
      <c r="C423" s="20"/>
      <c r="D423" s="20"/>
      <c r="E423" s="30"/>
      <c r="F423" s="3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5">
      <c r="A424" s="20"/>
      <c r="B424" s="20"/>
      <c r="C424" s="20"/>
      <c r="D424" s="20"/>
      <c r="E424" s="30"/>
      <c r="F424" s="3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5">
      <c r="A425" s="20"/>
      <c r="B425" s="20"/>
      <c r="C425" s="20"/>
      <c r="D425" s="20"/>
      <c r="E425" s="30"/>
      <c r="F425" s="3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5">
      <c r="A426" s="20"/>
      <c r="B426" s="20"/>
      <c r="C426" s="20"/>
      <c r="D426" s="20"/>
      <c r="E426" s="30"/>
      <c r="F426" s="3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5">
      <c r="A427" s="20"/>
      <c r="B427" s="20"/>
      <c r="C427" s="20"/>
      <c r="D427" s="20"/>
      <c r="E427" s="30"/>
      <c r="F427" s="3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5">
      <c r="A428" s="20"/>
      <c r="B428" s="20"/>
      <c r="C428" s="20"/>
      <c r="D428" s="20"/>
      <c r="E428" s="30"/>
      <c r="F428" s="3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5">
      <c r="A429" s="20"/>
      <c r="B429" s="20"/>
      <c r="C429" s="20"/>
      <c r="D429" s="20"/>
      <c r="E429" s="30"/>
      <c r="F429" s="3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5">
      <c r="A430" s="20"/>
      <c r="B430" s="20"/>
      <c r="C430" s="20"/>
      <c r="D430" s="20"/>
      <c r="E430" s="30"/>
      <c r="F430" s="3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5">
      <c r="A431" s="20"/>
      <c r="B431" s="20"/>
      <c r="C431" s="20"/>
      <c r="D431" s="20"/>
      <c r="E431" s="30"/>
      <c r="F431" s="3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5">
      <c r="A432" s="20"/>
      <c r="B432" s="20"/>
      <c r="C432" s="20"/>
      <c r="D432" s="20"/>
      <c r="E432" s="30"/>
      <c r="F432" s="3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5">
      <c r="A433" s="20"/>
      <c r="B433" s="20"/>
      <c r="C433" s="20"/>
      <c r="D433" s="20"/>
      <c r="E433" s="30"/>
      <c r="F433" s="3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5">
      <c r="A434" s="20"/>
      <c r="B434" s="20"/>
      <c r="C434" s="20"/>
      <c r="D434" s="20"/>
      <c r="E434" s="30"/>
      <c r="F434" s="3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5">
      <c r="A435" s="20"/>
      <c r="B435" s="20"/>
      <c r="C435" s="20"/>
      <c r="D435" s="20"/>
      <c r="E435" s="30"/>
      <c r="F435" s="3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5">
      <c r="A436" s="20"/>
      <c r="B436" s="20"/>
      <c r="C436" s="20"/>
      <c r="D436" s="20"/>
      <c r="E436" s="30"/>
      <c r="F436" s="3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5">
      <c r="A437" s="20"/>
      <c r="B437" s="20"/>
      <c r="C437" s="20"/>
      <c r="D437" s="20"/>
      <c r="E437" s="30"/>
      <c r="F437" s="3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5">
      <c r="A438" s="20"/>
      <c r="B438" s="20"/>
      <c r="C438" s="20"/>
      <c r="D438" s="20"/>
      <c r="E438" s="30"/>
      <c r="F438" s="3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5">
      <c r="A439" s="20"/>
      <c r="B439" s="20"/>
      <c r="C439" s="20"/>
      <c r="D439" s="20"/>
      <c r="E439" s="30"/>
      <c r="F439" s="3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5">
      <c r="A440" s="20"/>
      <c r="B440" s="20"/>
      <c r="C440" s="20"/>
      <c r="D440" s="20"/>
      <c r="E440" s="30"/>
      <c r="F440" s="3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5">
      <c r="A441" s="20"/>
      <c r="B441" s="20"/>
      <c r="C441" s="20"/>
      <c r="D441" s="20"/>
      <c r="E441" s="30"/>
      <c r="F441" s="3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5">
      <c r="A442" s="20"/>
      <c r="B442" s="20"/>
      <c r="C442" s="20"/>
      <c r="D442" s="20"/>
      <c r="E442" s="30"/>
      <c r="F442" s="3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5">
      <c r="A443" s="20"/>
      <c r="B443" s="20"/>
      <c r="C443" s="20"/>
      <c r="D443" s="20"/>
      <c r="E443" s="30"/>
      <c r="F443" s="3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5">
      <c r="A444" s="20"/>
      <c r="B444" s="20"/>
      <c r="C444" s="20"/>
      <c r="D444" s="20"/>
      <c r="E444" s="30"/>
      <c r="F444" s="3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5">
      <c r="A445" s="20"/>
      <c r="B445" s="20"/>
      <c r="C445" s="20"/>
      <c r="D445" s="20"/>
      <c r="E445" s="30"/>
      <c r="F445" s="3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5">
      <c r="A446" s="20"/>
      <c r="B446" s="20"/>
      <c r="C446" s="20"/>
      <c r="D446" s="20"/>
      <c r="E446" s="30"/>
      <c r="F446" s="3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5">
      <c r="A447" s="20"/>
      <c r="B447" s="20"/>
      <c r="C447" s="20"/>
      <c r="D447" s="20"/>
      <c r="E447" s="30"/>
      <c r="F447" s="3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5">
      <c r="A448" s="20"/>
      <c r="B448" s="20"/>
      <c r="C448" s="20"/>
      <c r="D448" s="20"/>
      <c r="E448" s="30"/>
      <c r="F448" s="3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5">
      <c r="A449" s="20"/>
      <c r="B449" s="20"/>
      <c r="C449" s="20"/>
      <c r="D449" s="20"/>
      <c r="E449" s="30"/>
      <c r="F449" s="3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5">
      <c r="A450" s="20"/>
      <c r="B450" s="20"/>
      <c r="C450" s="20"/>
      <c r="D450" s="20"/>
      <c r="E450" s="30"/>
      <c r="F450" s="3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5">
      <c r="A451" s="20"/>
      <c r="B451" s="20"/>
      <c r="C451" s="20"/>
      <c r="D451" s="20"/>
      <c r="E451" s="30"/>
      <c r="F451" s="3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5">
      <c r="A452" s="20"/>
      <c r="B452" s="20"/>
      <c r="C452" s="20"/>
      <c r="D452" s="20"/>
      <c r="E452" s="30"/>
      <c r="F452" s="3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5">
      <c r="A453" s="20"/>
      <c r="B453" s="20"/>
      <c r="C453" s="20"/>
      <c r="D453" s="20"/>
      <c r="E453" s="30"/>
      <c r="F453" s="3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5">
      <c r="A454" s="20"/>
      <c r="B454" s="20"/>
      <c r="C454" s="20"/>
      <c r="D454" s="20"/>
      <c r="E454" s="30"/>
      <c r="F454" s="3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5">
      <c r="A455" s="20"/>
      <c r="B455" s="20"/>
      <c r="C455" s="20"/>
      <c r="D455" s="20"/>
      <c r="E455" s="30"/>
      <c r="F455" s="3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5">
      <c r="A456" s="20"/>
      <c r="B456" s="20"/>
      <c r="C456" s="20"/>
      <c r="D456" s="20"/>
      <c r="E456" s="30"/>
      <c r="F456" s="3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5">
      <c r="A457" s="20"/>
      <c r="B457" s="20"/>
      <c r="C457" s="20"/>
      <c r="D457" s="20"/>
      <c r="E457" s="30"/>
      <c r="F457" s="3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5">
      <c r="A458" s="20"/>
      <c r="B458" s="20"/>
      <c r="C458" s="20"/>
      <c r="D458" s="20"/>
      <c r="E458" s="30"/>
      <c r="F458" s="3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5">
      <c r="A459" s="20"/>
      <c r="B459" s="20"/>
      <c r="C459" s="20"/>
      <c r="D459" s="20"/>
      <c r="E459" s="30"/>
      <c r="F459" s="3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5">
      <c r="A460" s="20"/>
      <c r="B460" s="20"/>
      <c r="C460" s="20"/>
      <c r="D460" s="20"/>
      <c r="E460" s="30"/>
      <c r="F460" s="3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5">
      <c r="A461" s="20"/>
      <c r="B461" s="20"/>
      <c r="C461" s="20"/>
      <c r="D461" s="20"/>
      <c r="E461" s="30"/>
      <c r="F461" s="3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5">
      <c r="A462" s="20"/>
      <c r="B462" s="20"/>
      <c r="C462" s="20"/>
      <c r="D462" s="20"/>
      <c r="E462" s="30"/>
      <c r="F462" s="3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5">
      <c r="A463" s="20"/>
      <c r="B463" s="20"/>
      <c r="C463" s="20"/>
      <c r="D463" s="20"/>
      <c r="E463" s="30"/>
      <c r="F463" s="3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5">
      <c r="A464" s="20"/>
      <c r="B464" s="20"/>
      <c r="C464" s="20"/>
      <c r="D464" s="20"/>
      <c r="E464" s="30"/>
      <c r="F464" s="3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5">
      <c r="A465" s="20"/>
      <c r="B465" s="20"/>
      <c r="C465" s="20"/>
      <c r="D465" s="20"/>
      <c r="E465" s="30"/>
      <c r="F465" s="3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5">
      <c r="A466" s="20"/>
      <c r="B466" s="20"/>
      <c r="C466" s="20"/>
      <c r="D466" s="20"/>
      <c r="E466" s="30"/>
      <c r="F466" s="3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5">
      <c r="A467" s="20"/>
      <c r="B467" s="20"/>
      <c r="C467" s="20"/>
      <c r="D467" s="20"/>
      <c r="E467" s="30"/>
      <c r="F467" s="3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5">
      <c r="A468" s="20"/>
      <c r="B468" s="20"/>
      <c r="C468" s="20"/>
      <c r="D468" s="20"/>
      <c r="E468" s="30"/>
      <c r="F468" s="3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5">
      <c r="A469" s="20"/>
      <c r="B469" s="20"/>
      <c r="C469" s="20"/>
      <c r="D469" s="20"/>
      <c r="E469" s="30"/>
      <c r="F469" s="3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5">
      <c r="A470" s="20"/>
      <c r="B470" s="20"/>
      <c r="C470" s="20"/>
      <c r="D470" s="20"/>
      <c r="E470" s="30"/>
      <c r="F470" s="3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5">
      <c r="A471" s="20"/>
      <c r="B471" s="20"/>
      <c r="C471" s="20"/>
      <c r="D471" s="20"/>
      <c r="E471" s="30"/>
      <c r="F471" s="3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5">
      <c r="A472" s="20"/>
      <c r="B472" s="20"/>
      <c r="C472" s="20"/>
      <c r="D472" s="20"/>
      <c r="E472" s="30"/>
      <c r="F472" s="3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5">
      <c r="A473" s="20"/>
      <c r="B473" s="20"/>
      <c r="C473" s="20"/>
      <c r="D473" s="20"/>
      <c r="E473" s="30"/>
      <c r="F473" s="3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5">
      <c r="A474" s="20"/>
      <c r="B474" s="20"/>
      <c r="C474" s="20"/>
      <c r="D474" s="20"/>
      <c r="E474" s="30"/>
      <c r="F474" s="3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5">
      <c r="A475" s="20"/>
      <c r="B475" s="20"/>
      <c r="C475" s="20"/>
      <c r="D475" s="20"/>
      <c r="E475" s="30"/>
      <c r="F475" s="3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5">
      <c r="A476" s="20"/>
      <c r="B476" s="20"/>
      <c r="C476" s="20"/>
      <c r="D476" s="20"/>
      <c r="E476" s="30"/>
      <c r="F476" s="3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5">
      <c r="A477" s="20"/>
      <c r="B477" s="20"/>
      <c r="C477" s="20"/>
      <c r="D477" s="20"/>
      <c r="E477" s="30"/>
      <c r="F477" s="3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5">
      <c r="A478" s="20"/>
      <c r="B478" s="20"/>
      <c r="C478" s="20"/>
      <c r="D478" s="20"/>
      <c r="E478" s="30"/>
      <c r="F478" s="3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5">
      <c r="A479" s="20"/>
      <c r="B479" s="20"/>
      <c r="C479" s="20"/>
      <c r="D479" s="20"/>
      <c r="E479" s="30"/>
      <c r="F479" s="3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5">
      <c r="A480" s="20"/>
      <c r="B480" s="20"/>
      <c r="C480" s="20"/>
      <c r="D480" s="20"/>
      <c r="E480" s="30"/>
      <c r="F480" s="3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5">
      <c r="A481" s="20"/>
      <c r="B481" s="20"/>
      <c r="C481" s="20"/>
      <c r="D481" s="20"/>
      <c r="E481" s="30"/>
      <c r="F481" s="3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5">
      <c r="A482" s="20"/>
      <c r="B482" s="20"/>
      <c r="C482" s="20"/>
      <c r="D482" s="20"/>
      <c r="E482" s="30"/>
      <c r="F482" s="3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5">
      <c r="A483" s="20"/>
      <c r="B483" s="20"/>
      <c r="C483" s="20"/>
      <c r="D483" s="20"/>
      <c r="E483" s="30"/>
      <c r="F483" s="3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5">
      <c r="A484" s="20"/>
      <c r="B484" s="20"/>
      <c r="C484" s="20"/>
      <c r="D484" s="20"/>
      <c r="E484" s="30"/>
      <c r="F484" s="3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5">
      <c r="A485" s="20"/>
      <c r="B485" s="20"/>
      <c r="C485" s="20"/>
      <c r="D485" s="20"/>
      <c r="E485" s="30"/>
      <c r="F485" s="3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5">
      <c r="A486" s="20"/>
      <c r="B486" s="20"/>
      <c r="C486" s="20"/>
      <c r="D486" s="20"/>
      <c r="E486" s="30"/>
      <c r="F486" s="3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5">
      <c r="A487" s="20"/>
      <c r="B487" s="20"/>
      <c r="C487" s="20"/>
      <c r="D487" s="20"/>
      <c r="E487" s="30"/>
      <c r="F487" s="3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5">
      <c r="A488" s="20"/>
      <c r="B488" s="20"/>
      <c r="C488" s="20"/>
      <c r="D488" s="20"/>
      <c r="E488" s="30"/>
      <c r="F488" s="3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5">
      <c r="A489" s="20"/>
      <c r="B489" s="20"/>
      <c r="C489" s="20"/>
      <c r="D489" s="20"/>
      <c r="E489" s="30"/>
      <c r="F489" s="3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5">
      <c r="A490" s="20"/>
      <c r="B490" s="20"/>
      <c r="C490" s="20"/>
      <c r="D490" s="20"/>
      <c r="E490" s="30"/>
      <c r="F490" s="3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5">
      <c r="A491" s="20"/>
      <c r="B491" s="20"/>
      <c r="C491" s="20"/>
      <c r="D491" s="20"/>
      <c r="E491" s="30"/>
      <c r="F491" s="3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5">
      <c r="A492" s="20"/>
      <c r="B492" s="20"/>
      <c r="C492" s="20"/>
      <c r="D492" s="20"/>
      <c r="E492" s="30"/>
      <c r="F492" s="3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5">
      <c r="A493" s="20"/>
      <c r="B493" s="20"/>
      <c r="C493" s="20"/>
      <c r="D493" s="20"/>
      <c r="E493" s="30"/>
      <c r="F493" s="3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5">
      <c r="A494" s="20"/>
      <c r="B494" s="20"/>
      <c r="C494" s="20"/>
      <c r="D494" s="20"/>
      <c r="E494" s="30"/>
      <c r="F494" s="3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5">
      <c r="A495" s="20"/>
      <c r="B495" s="20"/>
      <c r="C495" s="20"/>
      <c r="D495" s="20"/>
      <c r="E495" s="30"/>
      <c r="F495" s="3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5">
      <c r="A496" s="20"/>
      <c r="B496" s="20"/>
      <c r="C496" s="20"/>
      <c r="D496" s="20"/>
      <c r="E496" s="30"/>
      <c r="F496" s="3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5">
      <c r="A497" s="20"/>
      <c r="B497" s="20"/>
      <c r="C497" s="20"/>
      <c r="D497" s="20"/>
      <c r="E497" s="30"/>
      <c r="F497" s="3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5">
      <c r="A498" s="20"/>
      <c r="B498" s="20"/>
      <c r="C498" s="20"/>
      <c r="D498" s="20"/>
      <c r="E498" s="30"/>
      <c r="F498" s="3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5">
      <c r="A499" s="20"/>
      <c r="B499" s="20"/>
      <c r="C499" s="20"/>
      <c r="D499" s="20"/>
      <c r="E499" s="30"/>
      <c r="F499" s="3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5">
      <c r="A500" s="20"/>
      <c r="B500" s="20"/>
      <c r="C500" s="20"/>
      <c r="D500" s="20"/>
      <c r="E500" s="30"/>
      <c r="F500" s="3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5">
      <c r="A501" s="20"/>
      <c r="B501" s="20"/>
      <c r="C501" s="20"/>
      <c r="D501" s="20"/>
      <c r="E501" s="30"/>
      <c r="F501" s="3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5">
      <c r="A502" s="20"/>
      <c r="B502" s="20"/>
      <c r="C502" s="20"/>
      <c r="D502" s="20"/>
      <c r="E502" s="30"/>
      <c r="F502" s="3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5">
      <c r="A503" s="20"/>
      <c r="B503" s="20"/>
      <c r="C503" s="20"/>
      <c r="D503" s="20"/>
      <c r="E503" s="30"/>
      <c r="F503" s="3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5">
      <c r="A504" s="20"/>
      <c r="B504" s="20"/>
      <c r="C504" s="20"/>
      <c r="D504" s="20"/>
      <c r="E504" s="30"/>
      <c r="F504" s="3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5">
      <c r="A505" s="20"/>
      <c r="B505" s="20"/>
      <c r="C505" s="20"/>
      <c r="D505" s="20"/>
      <c r="E505" s="30"/>
      <c r="F505" s="3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5">
      <c r="A506" s="20"/>
      <c r="B506" s="20"/>
      <c r="C506" s="20"/>
      <c r="D506" s="20"/>
      <c r="E506" s="30"/>
      <c r="F506" s="3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5">
      <c r="A507" s="20"/>
      <c r="B507" s="20"/>
      <c r="C507" s="20"/>
      <c r="D507" s="20"/>
      <c r="E507" s="30"/>
      <c r="F507" s="3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5">
      <c r="A508" s="20"/>
      <c r="B508" s="20"/>
      <c r="C508" s="20"/>
      <c r="D508" s="20"/>
      <c r="E508" s="30"/>
      <c r="F508" s="3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5">
      <c r="A509" s="20"/>
      <c r="B509" s="20"/>
      <c r="C509" s="20"/>
      <c r="D509" s="20"/>
      <c r="E509" s="30"/>
      <c r="F509" s="3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5">
      <c r="A510" s="20"/>
      <c r="B510" s="20"/>
      <c r="C510" s="20"/>
      <c r="D510" s="20"/>
      <c r="E510" s="30"/>
      <c r="F510" s="3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5">
      <c r="A511" s="20"/>
      <c r="B511" s="20"/>
      <c r="C511" s="20"/>
      <c r="D511" s="20"/>
      <c r="E511" s="30"/>
      <c r="F511" s="3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5">
      <c r="A512" s="20"/>
      <c r="B512" s="20"/>
      <c r="C512" s="20"/>
      <c r="D512" s="20"/>
      <c r="E512" s="30"/>
      <c r="F512" s="3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5">
      <c r="A513" s="20"/>
      <c r="B513" s="20"/>
      <c r="C513" s="20"/>
      <c r="D513" s="20"/>
      <c r="E513" s="30"/>
      <c r="F513" s="3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5">
      <c r="A514" s="20"/>
      <c r="B514" s="20"/>
      <c r="C514" s="20"/>
      <c r="D514" s="20"/>
      <c r="E514" s="30"/>
      <c r="F514" s="3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5">
      <c r="A515" s="20"/>
      <c r="B515" s="20"/>
      <c r="C515" s="20"/>
      <c r="D515" s="20"/>
      <c r="E515" s="30"/>
      <c r="F515" s="3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5">
      <c r="A516" s="20"/>
      <c r="B516" s="20"/>
      <c r="C516" s="20"/>
      <c r="D516" s="20"/>
      <c r="E516" s="30"/>
      <c r="F516" s="3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5">
      <c r="A517" s="20"/>
      <c r="B517" s="20"/>
      <c r="C517" s="20"/>
      <c r="D517" s="20"/>
      <c r="E517" s="30"/>
      <c r="F517" s="3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5">
      <c r="A518" s="20"/>
      <c r="B518" s="20"/>
      <c r="C518" s="20"/>
      <c r="D518" s="20"/>
      <c r="E518" s="30"/>
      <c r="F518" s="3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5">
      <c r="A519" s="20"/>
      <c r="B519" s="20"/>
      <c r="C519" s="20"/>
      <c r="D519" s="20"/>
      <c r="E519" s="30"/>
      <c r="F519" s="3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5">
      <c r="A520" s="20"/>
      <c r="B520" s="20"/>
      <c r="C520" s="20"/>
      <c r="D520" s="20"/>
      <c r="E520" s="30"/>
      <c r="F520" s="3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5">
      <c r="A521" s="20"/>
      <c r="B521" s="20"/>
      <c r="C521" s="20"/>
      <c r="D521" s="20"/>
      <c r="E521" s="30"/>
      <c r="F521" s="3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5">
      <c r="A522" s="20"/>
      <c r="B522" s="20"/>
      <c r="C522" s="20"/>
      <c r="D522" s="20"/>
      <c r="E522" s="30"/>
      <c r="F522" s="3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5">
      <c r="A523" s="20"/>
      <c r="B523" s="20"/>
      <c r="C523" s="20"/>
      <c r="D523" s="20"/>
      <c r="E523" s="30"/>
      <c r="F523" s="3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5">
      <c r="A524" s="20"/>
      <c r="B524" s="20"/>
      <c r="C524" s="20"/>
      <c r="D524" s="20"/>
      <c r="E524" s="30"/>
      <c r="F524" s="3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5">
      <c r="A525" s="20"/>
      <c r="B525" s="20"/>
      <c r="C525" s="20"/>
      <c r="D525" s="20"/>
      <c r="E525" s="30"/>
      <c r="F525" s="3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5">
      <c r="A526" s="20"/>
      <c r="B526" s="20"/>
      <c r="C526" s="20"/>
      <c r="D526" s="20"/>
      <c r="E526" s="30"/>
      <c r="F526" s="3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5">
      <c r="A527" s="20"/>
      <c r="B527" s="20"/>
      <c r="C527" s="20"/>
      <c r="D527" s="20"/>
      <c r="E527" s="30"/>
      <c r="F527" s="3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5">
      <c r="A528" s="20"/>
      <c r="B528" s="20"/>
      <c r="C528" s="20"/>
      <c r="D528" s="20"/>
      <c r="E528" s="30"/>
      <c r="F528" s="3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5">
      <c r="A529" s="20"/>
      <c r="B529" s="20"/>
      <c r="C529" s="20"/>
      <c r="D529" s="20"/>
      <c r="E529" s="30"/>
      <c r="F529" s="3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5">
      <c r="A530" s="20"/>
      <c r="B530" s="20"/>
      <c r="C530" s="20"/>
      <c r="D530" s="20"/>
      <c r="E530" s="30"/>
      <c r="F530" s="3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5">
      <c r="A531" s="20"/>
      <c r="B531" s="20"/>
      <c r="C531" s="20"/>
      <c r="D531" s="20"/>
      <c r="E531" s="30"/>
      <c r="F531" s="3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5">
      <c r="A532" s="20"/>
      <c r="B532" s="20"/>
      <c r="C532" s="20"/>
      <c r="D532" s="20"/>
      <c r="E532" s="30"/>
      <c r="F532" s="3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5">
      <c r="A533" s="20"/>
      <c r="B533" s="20"/>
      <c r="C533" s="20"/>
      <c r="D533" s="20"/>
      <c r="E533" s="30"/>
      <c r="F533" s="3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5">
      <c r="A534" s="20"/>
      <c r="B534" s="20"/>
      <c r="C534" s="20"/>
      <c r="D534" s="20"/>
      <c r="E534" s="30"/>
      <c r="F534" s="3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5">
      <c r="A535" s="20"/>
      <c r="B535" s="20"/>
      <c r="C535" s="20"/>
      <c r="D535" s="20"/>
      <c r="E535" s="30"/>
      <c r="F535" s="3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5">
      <c r="A536" s="20"/>
      <c r="B536" s="20"/>
      <c r="C536" s="20"/>
      <c r="D536" s="20"/>
      <c r="E536" s="30"/>
      <c r="F536" s="3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5">
      <c r="A537" s="20"/>
      <c r="B537" s="20"/>
      <c r="C537" s="20"/>
      <c r="D537" s="20"/>
      <c r="E537" s="30"/>
      <c r="F537" s="3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5">
      <c r="A538" s="20"/>
      <c r="B538" s="20"/>
      <c r="C538" s="20"/>
      <c r="D538" s="20"/>
      <c r="E538" s="30"/>
      <c r="F538" s="3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5">
      <c r="A539" s="20"/>
      <c r="B539" s="20"/>
      <c r="C539" s="20"/>
      <c r="D539" s="20"/>
      <c r="E539" s="30"/>
      <c r="F539" s="3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5">
      <c r="A540" s="20"/>
      <c r="B540" s="20"/>
      <c r="C540" s="20"/>
      <c r="D540" s="20"/>
      <c r="E540" s="30"/>
      <c r="F540" s="3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5">
      <c r="A541" s="20"/>
      <c r="B541" s="20"/>
      <c r="C541" s="20"/>
      <c r="D541" s="20"/>
      <c r="E541" s="30"/>
      <c r="F541" s="3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5">
      <c r="A542" s="20"/>
      <c r="B542" s="20"/>
      <c r="C542" s="20"/>
      <c r="D542" s="20"/>
      <c r="E542" s="30"/>
      <c r="F542" s="3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5">
      <c r="A543" s="20"/>
      <c r="B543" s="20"/>
      <c r="C543" s="20"/>
      <c r="D543" s="20"/>
      <c r="E543" s="30"/>
      <c r="F543" s="3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5">
      <c r="A544" s="20"/>
      <c r="B544" s="20"/>
      <c r="C544" s="20"/>
      <c r="D544" s="20"/>
      <c r="E544" s="30"/>
      <c r="F544" s="3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5">
      <c r="A545" s="20"/>
      <c r="B545" s="20"/>
      <c r="C545" s="20"/>
      <c r="D545" s="20"/>
      <c r="E545" s="30"/>
      <c r="F545" s="3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5">
      <c r="A546" s="20"/>
      <c r="B546" s="20"/>
      <c r="C546" s="20"/>
      <c r="D546" s="20"/>
      <c r="E546" s="30"/>
      <c r="F546" s="3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5">
      <c r="A547" s="20"/>
      <c r="B547" s="20"/>
      <c r="C547" s="20"/>
      <c r="D547" s="20"/>
      <c r="E547" s="30"/>
      <c r="F547" s="3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5">
      <c r="A548" s="20"/>
      <c r="B548" s="20"/>
      <c r="C548" s="20"/>
      <c r="D548" s="20"/>
      <c r="E548" s="30"/>
      <c r="F548" s="3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5">
      <c r="A549" s="20"/>
      <c r="B549" s="20"/>
      <c r="C549" s="20"/>
      <c r="D549" s="20"/>
      <c r="E549" s="30"/>
      <c r="F549" s="3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5">
      <c r="A550" s="20"/>
      <c r="B550" s="20"/>
      <c r="C550" s="20"/>
      <c r="D550" s="20"/>
      <c r="E550" s="30"/>
      <c r="F550" s="3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5">
      <c r="A551" s="20"/>
      <c r="B551" s="20"/>
      <c r="C551" s="20"/>
      <c r="D551" s="20"/>
      <c r="E551" s="30"/>
      <c r="F551" s="3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5">
      <c r="A552" s="20"/>
      <c r="B552" s="20"/>
      <c r="C552" s="20"/>
      <c r="D552" s="20"/>
      <c r="E552" s="30"/>
      <c r="F552" s="3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5">
      <c r="A553" s="20"/>
      <c r="B553" s="20"/>
      <c r="C553" s="20"/>
      <c r="D553" s="20"/>
      <c r="E553" s="30"/>
      <c r="F553" s="3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5">
      <c r="A554" s="20"/>
      <c r="B554" s="20"/>
      <c r="C554" s="20"/>
      <c r="D554" s="20"/>
      <c r="E554" s="30"/>
      <c r="F554" s="3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5">
      <c r="A555" s="20"/>
      <c r="B555" s="20"/>
      <c r="C555" s="20"/>
      <c r="D555" s="20"/>
      <c r="E555" s="30"/>
      <c r="F555" s="3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5">
      <c r="A556" s="20"/>
      <c r="B556" s="20"/>
      <c r="C556" s="20"/>
      <c r="D556" s="20"/>
      <c r="E556" s="30"/>
      <c r="F556" s="3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5">
      <c r="A557" s="20"/>
      <c r="B557" s="20"/>
      <c r="C557" s="20"/>
      <c r="D557" s="20"/>
      <c r="E557" s="30"/>
      <c r="F557" s="3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5">
      <c r="A558" s="20"/>
      <c r="B558" s="20"/>
      <c r="C558" s="20"/>
      <c r="D558" s="20"/>
      <c r="E558" s="30"/>
      <c r="F558" s="3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5">
      <c r="A559" s="20"/>
      <c r="B559" s="20"/>
      <c r="C559" s="20"/>
      <c r="D559" s="20"/>
      <c r="E559" s="30"/>
      <c r="F559" s="3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5">
      <c r="A560" s="20"/>
      <c r="B560" s="20"/>
      <c r="C560" s="20"/>
      <c r="D560" s="20"/>
      <c r="E560" s="30"/>
      <c r="F560" s="3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5">
      <c r="A561" s="20"/>
      <c r="B561" s="20"/>
      <c r="C561" s="20"/>
      <c r="D561" s="20"/>
      <c r="E561" s="30"/>
      <c r="F561" s="3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5">
      <c r="A562" s="20"/>
      <c r="B562" s="20"/>
      <c r="C562" s="20"/>
      <c r="D562" s="20"/>
      <c r="E562" s="30"/>
      <c r="F562" s="3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5">
      <c r="A563" s="20"/>
      <c r="B563" s="20"/>
      <c r="C563" s="20"/>
      <c r="D563" s="20"/>
      <c r="E563" s="30"/>
      <c r="F563" s="3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5">
      <c r="A564" s="20"/>
      <c r="B564" s="20"/>
      <c r="C564" s="20"/>
      <c r="D564" s="20"/>
      <c r="E564" s="30"/>
      <c r="F564" s="3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5">
      <c r="A565" s="20"/>
      <c r="B565" s="20"/>
      <c r="C565" s="20"/>
      <c r="D565" s="20"/>
      <c r="E565" s="30"/>
      <c r="F565" s="3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5">
      <c r="A566" s="20"/>
      <c r="B566" s="20"/>
      <c r="C566" s="20"/>
      <c r="D566" s="20"/>
      <c r="E566" s="30"/>
      <c r="F566" s="3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5">
      <c r="A567" s="20"/>
      <c r="B567" s="20"/>
      <c r="C567" s="20"/>
      <c r="D567" s="20"/>
      <c r="E567" s="30"/>
      <c r="F567" s="3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5">
      <c r="A568" s="20"/>
      <c r="B568" s="20"/>
      <c r="C568" s="20"/>
      <c r="D568" s="20"/>
      <c r="E568" s="30"/>
      <c r="F568" s="3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5">
      <c r="A569" s="20"/>
      <c r="B569" s="20"/>
      <c r="C569" s="20"/>
      <c r="D569" s="20"/>
      <c r="E569" s="30"/>
      <c r="F569" s="3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5">
      <c r="A570" s="20"/>
      <c r="B570" s="20"/>
      <c r="C570" s="20"/>
      <c r="D570" s="20"/>
      <c r="E570" s="30"/>
      <c r="F570" s="3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5">
      <c r="A571" s="20"/>
      <c r="B571" s="20"/>
      <c r="C571" s="20"/>
      <c r="D571" s="20"/>
      <c r="E571" s="30"/>
      <c r="F571" s="3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5">
      <c r="A572" s="20"/>
      <c r="B572" s="20"/>
      <c r="C572" s="20"/>
      <c r="D572" s="20"/>
      <c r="E572" s="30"/>
      <c r="F572" s="3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5">
      <c r="A573" s="20"/>
      <c r="B573" s="20"/>
      <c r="C573" s="20"/>
      <c r="D573" s="20"/>
      <c r="E573" s="30"/>
      <c r="F573" s="3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5">
      <c r="A574" s="20"/>
      <c r="B574" s="20"/>
      <c r="C574" s="20"/>
      <c r="D574" s="20"/>
      <c r="E574" s="30"/>
      <c r="F574" s="3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5">
      <c r="A575" s="20"/>
      <c r="B575" s="20"/>
      <c r="C575" s="20"/>
      <c r="D575" s="20"/>
      <c r="E575" s="30"/>
      <c r="F575" s="3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5">
      <c r="A576" s="20"/>
      <c r="B576" s="20"/>
      <c r="C576" s="20"/>
      <c r="D576" s="20"/>
      <c r="E576" s="30"/>
      <c r="F576" s="3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5">
      <c r="A577" s="20"/>
      <c r="B577" s="20"/>
      <c r="C577" s="20"/>
      <c r="D577" s="20"/>
      <c r="E577" s="30"/>
      <c r="F577" s="3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5">
      <c r="A578" s="20"/>
      <c r="B578" s="20"/>
      <c r="C578" s="20"/>
      <c r="D578" s="20"/>
      <c r="E578" s="30"/>
      <c r="F578" s="3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5">
      <c r="A579" s="20"/>
      <c r="B579" s="20"/>
      <c r="C579" s="20"/>
      <c r="D579" s="20"/>
      <c r="E579" s="30"/>
      <c r="F579" s="3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5">
      <c r="A580" s="20"/>
      <c r="B580" s="20"/>
      <c r="C580" s="20"/>
      <c r="D580" s="20"/>
      <c r="E580" s="30"/>
      <c r="F580" s="3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5">
      <c r="A581" s="20"/>
      <c r="B581" s="20"/>
      <c r="C581" s="20"/>
      <c r="D581" s="20"/>
      <c r="E581" s="30"/>
      <c r="F581" s="3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5">
      <c r="A582" s="20"/>
      <c r="B582" s="20"/>
      <c r="C582" s="20"/>
      <c r="D582" s="20"/>
      <c r="E582" s="30"/>
      <c r="F582" s="3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5">
      <c r="A583" s="20"/>
      <c r="B583" s="20"/>
      <c r="C583" s="20"/>
      <c r="D583" s="20"/>
      <c r="E583" s="30"/>
      <c r="F583" s="3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5">
      <c r="A584" s="20"/>
      <c r="B584" s="20"/>
      <c r="C584" s="20"/>
      <c r="D584" s="20"/>
      <c r="E584" s="30"/>
      <c r="F584" s="3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5">
      <c r="A585" s="20"/>
      <c r="B585" s="20"/>
      <c r="C585" s="20"/>
      <c r="D585" s="20"/>
      <c r="E585" s="30"/>
      <c r="F585" s="3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5">
      <c r="A586" s="20"/>
      <c r="B586" s="20"/>
      <c r="C586" s="20"/>
      <c r="D586" s="20"/>
      <c r="E586" s="30"/>
      <c r="F586" s="3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5">
      <c r="A587" s="20"/>
      <c r="B587" s="20"/>
      <c r="C587" s="20"/>
      <c r="D587" s="20"/>
      <c r="E587" s="30"/>
      <c r="F587" s="3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5">
      <c r="A588" s="20"/>
      <c r="B588" s="20"/>
      <c r="C588" s="20"/>
      <c r="D588" s="20"/>
      <c r="E588" s="30"/>
      <c r="F588" s="3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5">
      <c r="A589" s="20"/>
      <c r="B589" s="20"/>
      <c r="C589" s="20"/>
      <c r="D589" s="20"/>
      <c r="E589" s="30"/>
      <c r="F589" s="3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5">
      <c r="A590" s="20"/>
      <c r="B590" s="20"/>
      <c r="C590" s="20"/>
      <c r="D590" s="20"/>
      <c r="E590" s="30"/>
      <c r="F590" s="3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5">
      <c r="A591" s="20"/>
      <c r="B591" s="20"/>
      <c r="C591" s="20"/>
      <c r="D591" s="20"/>
      <c r="E591" s="30"/>
      <c r="F591" s="3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5">
      <c r="A592" s="20"/>
      <c r="B592" s="20"/>
      <c r="C592" s="20"/>
      <c r="D592" s="20"/>
      <c r="E592" s="30"/>
      <c r="F592" s="3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5">
      <c r="A593" s="20"/>
      <c r="B593" s="20"/>
      <c r="C593" s="20"/>
      <c r="D593" s="20"/>
      <c r="E593" s="30"/>
      <c r="F593" s="3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5">
      <c r="A594" s="20"/>
      <c r="B594" s="20"/>
      <c r="C594" s="20"/>
      <c r="D594" s="20"/>
      <c r="E594" s="30"/>
      <c r="F594" s="3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5">
      <c r="A595" s="20"/>
      <c r="B595" s="20"/>
      <c r="C595" s="20"/>
      <c r="D595" s="20"/>
      <c r="E595" s="30"/>
      <c r="F595" s="3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5">
      <c r="A596" s="20"/>
      <c r="B596" s="20"/>
      <c r="C596" s="20"/>
      <c r="D596" s="20"/>
      <c r="E596" s="30"/>
      <c r="F596" s="3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5">
      <c r="A597" s="20"/>
      <c r="B597" s="20"/>
      <c r="C597" s="20"/>
      <c r="D597" s="20"/>
      <c r="E597" s="30"/>
      <c r="F597" s="3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5">
      <c r="A598" s="20"/>
      <c r="B598" s="20"/>
      <c r="C598" s="20"/>
      <c r="D598" s="20"/>
      <c r="E598" s="30"/>
      <c r="F598" s="3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5">
      <c r="A599" s="20"/>
      <c r="B599" s="20"/>
      <c r="C599" s="20"/>
      <c r="D599" s="20"/>
      <c r="E599" s="30"/>
      <c r="F599" s="3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5">
      <c r="A600" s="20"/>
      <c r="B600" s="20"/>
      <c r="C600" s="20"/>
      <c r="D600" s="20"/>
      <c r="E600" s="30"/>
      <c r="F600" s="3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5">
      <c r="A601" s="20"/>
      <c r="B601" s="20"/>
      <c r="C601" s="20"/>
      <c r="D601" s="20"/>
      <c r="E601" s="30"/>
      <c r="F601" s="3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5">
      <c r="A602" s="20"/>
      <c r="B602" s="20"/>
      <c r="C602" s="20"/>
      <c r="D602" s="20"/>
      <c r="E602" s="30"/>
      <c r="F602" s="3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5">
      <c r="A603" s="20"/>
      <c r="B603" s="20"/>
      <c r="C603" s="20"/>
      <c r="D603" s="20"/>
      <c r="E603" s="30"/>
      <c r="F603" s="3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5">
      <c r="A604" s="20"/>
      <c r="B604" s="20"/>
      <c r="C604" s="20"/>
      <c r="D604" s="20"/>
      <c r="E604" s="30"/>
      <c r="F604" s="3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5">
      <c r="A605" s="20"/>
      <c r="B605" s="20"/>
      <c r="C605" s="20"/>
      <c r="D605" s="20"/>
      <c r="E605" s="30"/>
      <c r="F605" s="3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5">
      <c r="A606" s="20"/>
      <c r="B606" s="20"/>
      <c r="C606" s="20"/>
      <c r="D606" s="20"/>
      <c r="E606" s="30"/>
      <c r="F606" s="3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5">
      <c r="A607" s="20"/>
      <c r="B607" s="20"/>
      <c r="C607" s="20"/>
      <c r="D607" s="20"/>
      <c r="E607" s="30"/>
      <c r="F607" s="3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5">
      <c r="A608" s="20"/>
      <c r="B608" s="20"/>
      <c r="C608" s="20"/>
      <c r="D608" s="20"/>
      <c r="E608" s="30"/>
      <c r="F608" s="3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5">
      <c r="A609" s="20"/>
      <c r="B609" s="20"/>
      <c r="C609" s="20"/>
      <c r="D609" s="20"/>
      <c r="E609" s="30"/>
      <c r="F609" s="3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5">
      <c r="A610" s="20"/>
      <c r="B610" s="20"/>
      <c r="C610" s="20"/>
      <c r="D610" s="20"/>
      <c r="E610" s="30"/>
      <c r="F610" s="3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5">
      <c r="A611" s="20"/>
      <c r="B611" s="20"/>
      <c r="C611" s="20"/>
      <c r="D611" s="20"/>
      <c r="E611" s="30"/>
      <c r="F611" s="3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5">
      <c r="A612" s="20"/>
      <c r="B612" s="20"/>
      <c r="C612" s="20"/>
      <c r="D612" s="20"/>
      <c r="E612" s="30"/>
      <c r="F612" s="3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5">
      <c r="A613" s="20"/>
      <c r="B613" s="20"/>
      <c r="C613" s="20"/>
      <c r="D613" s="20"/>
      <c r="E613" s="30"/>
      <c r="F613" s="3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5">
      <c r="A614" s="20"/>
      <c r="B614" s="20"/>
      <c r="C614" s="20"/>
      <c r="D614" s="20"/>
      <c r="E614" s="30"/>
      <c r="F614" s="3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5">
      <c r="A615" s="20"/>
      <c r="B615" s="20"/>
      <c r="C615" s="20"/>
      <c r="D615" s="20"/>
      <c r="E615" s="30"/>
      <c r="F615" s="3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5">
      <c r="A616" s="20"/>
      <c r="B616" s="20"/>
      <c r="C616" s="20"/>
      <c r="D616" s="20"/>
      <c r="E616" s="30"/>
      <c r="F616" s="3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5">
      <c r="A617" s="20"/>
      <c r="B617" s="20"/>
      <c r="C617" s="20"/>
      <c r="D617" s="20"/>
      <c r="E617" s="30"/>
      <c r="F617" s="3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5">
      <c r="A618" s="20"/>
      <c r="B618" s="20"/>
      <c r="C618" s="20"/>
      <c r="D618" s="20"/>
      <c r="E618" s="30"/>
      <c r="F618" s="3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5">
      <c r="A619" s="20"/>
      <c r="B619" s="20"/>
      <c r="C619" s="20"/>
      <c r="D619" s="20"/>
      <c r="E619" s="30"/>
      <c r="F619" s="3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5">
      <c r="A620" s="20"/>
      <c r="B620" s="20"/>
      <c r="C620" s="20"/>
      <c r="D620" s="20"/>
      <c r="E620" s="30"/>
      <c r="F620" s="3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5">
      <c r="A621" s="20"/>
      <c r="B621" s="20"/>
      <c r="C621" s="20"/>
      <c r="D621" s="20"/>
      <c r="E621" s="30"/>
      <c r="F621" s="3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5">
      <c r="A622" s="20"/>
      <c r="B622" s="20"/>
      <c r="C622" s="20"/>
      <c r="D622" s="20"/>
      <c r="E622" s="30"/>
      <c r="F622" s="3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5">
      <c r="A623" s="20"/>
      <c r="B623" s="20"/>
      <c r="C623" s="20"/>
      <c r="D623" s="20"/>
      <c r="E623" s="30"/>
      <c r="F623" s="3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5">
      <c r="A624" s="20"/>
      <c r="B624" s="20"/>
      <c r="C624" s="20"/>
      <c r="D624" s="20"/>
      <c r="E624" s="30"/>
      <c r="F624" s="3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5">
      <c r="A625" s="20"/>
      <c r="B625" s="20"/>
      <c r="C625" s="20"/>
      <c r="D625" s="20"/>
      <c r="E625" s="30"/>
      <c r="F625" s="3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5">
      <c r="A626" s="20"/>
      <c r="B626" s="20"/>
      <c r="C626" s="20"/>
      <c r="D626" s="20"/>
      <c r="E626" s="30"/>
      <c r="F626" s="3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5">
      <c r="A627" s="20"/>
      <c r="B627" s="20"/>
      <c r="C627" s="20"/>
      <c r="D627" s="20"/>
      <c r="E627" s="30"/>
      <c r="F627" s="3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5">
      <c r="A628" s="20"/>
      <c r="B628" s="20"/>
      <c r="C628" s="20"/>
      <c r="D628" s="20"/>
      <c r="E628" s="30"/>
      <c r="F628" s="3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5">
      <c r="A629" s="20"/>
      <c r="B629" s="20"/>
      <c r="C629" s="20"/>
      <c r="D629" s="20"/>
      <c r="E629" s="30"/>
      <c r="F629" s="3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5">
      <c r="A630" s="20"/>
      <c r="B630" s="20"/>
      <c r="C630" s="20"/>
      <c r="D630" s="20"/>
      <c r="E630" s="30"/>
      <c r="F630" s="3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5">
      <c r="A631" s="20"/>
      <c r="B631" s="20"/>
      <c r="C631" s="20"/>
      <c r="D631" s="20"/>
      <c r="E631" s="30"/>
      <c r="F631" s="3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5">
      <c r="A632" s="20"/>
      <c r="B632" s="20"/>
      <c r="C632" s="20"/>
      <c r="D632" s="20"/>
      <c r="E632" s="30"/>
      <c r="F632" s="3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5">
      <c r="A633" s="20"/>
      <c r="B633" s="20"/>
      <c r="C633" s="20"/>
      <c r="D633" s="20"/>
      <c r="E633" s="30"/>
      <c r="F633" s="3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5">
      <c r="A634" s="20"/>
      <c r="B634" s="20"/>
      <c r="C634" s="20"/>
      <c r="D634" s="20"/>
      <c r="E634" s="30"/>
      <c r="F634" s="3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5">
      <c r="A635" s="20"/>
      <c r="B635" s="20"/>
      <c r="C635" s="20"/>
      <c r="D635" s="20"/>
      <c r="E635" s="30"/>
      <c r="F635" s="3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5">
      <c r="A636" s="20"/>
      <c r="B636" s="20"/>
      <c r="C636" s="20"/>
      <c r="D636" s="20"/>
      <c r="E636" s="30"/>
      <c r="F636" s="3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5">
      <c r="A637" s="20"/>
      <c r="B637" s="20"/>
      <c r="C637" s="20"/>
      <c r="D637" s="20"/>
      <c r="E637" s="30"/>
      <c r="F637" s="3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5">
      <c r="A638" s="20"/>
      <c r="B638" s="20"/>
      <c r="C638" s="20"/>
      <c r="D638" s="20"/>
      <c r="E638" s="30"/>
      <c r="F638" s="3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5">
      <c r="A639" s="20"/>
      <c r="B639" s="20"/>
      <c r="C639" s="20"/>
      <c r="D639" s="20"/>
      <c r="E639" s="30"/>
      <c r="F639" s="3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5">
      <c r="A640" s="20"/>
      <c r="B640" s="20"/>
      <c r="C640" s="20"/>
      <c r="D640" s="20"/>
      <c r="E640" s="30"/>
      <c r="F640" s="3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5">
      <c r="A641" s="20"/>
      <c r="B641" s="20"/>
      <c r="C641" s="20"/>
      <c r="D641" s="20"/>
      <c r="E641" s="30"/>
      <c r="F641" s="3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5">
      <c r="A642" s="20"/>
      <c r="B642" s="20"/>
      <c r="C642" s="20"/>
      <c r="D642" s="20"/>
      <c r="E642" s="30"/>
      <c r="F642" s="3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5">
      <c r="A643" s="20"/>
      <c r="B643" s="20"/>
      <c r="C643" s="20"/>
      <c r="D643" s="20"/>
      <c r="E643" s="30"/>
      <c r="F643" s="3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5">
      <c r="A644" s="20"/>
      <c r="B644" s="20"/>
      <c r="C644" s="20"/>
      <c r="D644" s="20"/>
      <c r="E644" s="30"/>
      <c r="F644" s="3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5">
      <c r="A645" s="20"/>
      <c r="B645" s="20"/>
      <c r="C645" s="20"/>
      <c r="D645" s="20"/>
      <c r="E645" s="30"/>
      <c r="F645" s="3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5">
      <c r="A646" s="20"/>
      <c r="B646" s="20"/>
      <c r="C646" s="20"/>
      <c r="D646" s="20"/>
      <c r="E646" s="30"/>
      <c r="F646" s="3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5">
      <c r="A647" s="20"/>
      <c r="B647" s="20"/>
      <c r="C647" s="20"/>
      <c r="D647" s="20"/>
      <c r="E647" s="30"/>
      <c r="F647" s="3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5">
      <c r="A648" s="20"/>
      <c r="B648" s="20"/>
      <c r="C648" s="20"/>
      <c r="D648" s="20"/>
      <c r="E648" s="30"/>
      <c r="F648" s="3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5">
      <c r="A649" s="20"/>
      <c r="B649" s="20"/>
      <c r="C649" s="20"/>
      <c r="D649" s="20"/>
      <c r="E649" s="30"/>
      <c r="F649" s="3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5">
      <c r="A650" s="20"/>
      <c r="B650" s="20"/>
      <c r="C650" s="20"/>
      <c r="D650" s="20"/>
      <c r="E650" s="30"/>
      <c r="F650" s="3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5">
      <c r="A651" s="20"/>
      <c r="B651" s="20"/>
      <c r="C651" s="20"/>
      <c r="D651" s="20"/>
      <c r="E651" s="30"/>
      <c r="F651" s="3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5">
      <c r="A652" s="20"/>
      <c r="B652" s="20"/>
      <c r="C652" s="20"/>
      <c r="D652" s="20"/>
      <c r="E652" s="30"/>
      <c r="F652" s="3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5">
      <c r="A653" s="20"/>
      <c r="B653" s="20"/>
      <c r="C653" s="20"/>
      <c r="D653" s="20"/>
      <c r="E653" s="30"/>
      <c r="F653" s="3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5">
      <c r="A654" s="20"/>
      <c r="B654" s="20"/>
      <c r="C654" s="20"/>
      <c r="D654" s="20"/>
      <c r="E654" s="30"/>
      <c r="F654" s="3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5">
      <c r="A655" s="20"/>
      <c r="B655" s="20"/>
      <c r="C655" s="20"/>
      <c r="D655" s="20"/>
      <c r="E655" s="30"/>
      <c r="F655" s="3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5">
      <c r="A656" s="20"/>
      <c r="B656" s="20"/>
      <c r="C656" s="20"/>
      <c r="D656" s="20"/>
      <c r="E656" s="30"/>
      <c r="F656" s="3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5">
      <c r="A657" s="20"/>
      <c r="B657" s="20"/>
      <c r="C657" s="20"/>
      <c r="D657" s="20"/>
      <c r="E657" s="30"/>
      <c r="F657" s="3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5">
      <c r="A658" s="20"/>
      <c r="B658" s="20"/>
      <c r="C658" s="20"/>
      <c r="D658" s="20"/>
      <c r="E658" s="30"/>
      <c r="F658" s="3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5">
      <c r="A659" s="20"/>
      <c r="B659" s="20"/>
      <c r="C659" s="20"/>
      <c r="D659" s="20"/>
      <c r="E659" s="30"/>
      <c r="F659" s="3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5">
      <c r="A660" s="20"/>
      <c r="B660" s="20"/>
      <c r="C660" s="20"/>
      <c r="D660" s="20"/>
      <c r="E660" s="30"/>
      <c r="F660" s="3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5">
      <c r="A661" s="20"/>
      <c r="B661" s="20"/>
      <c r="C661" s="20"/>
      <c r="D661" s="20"/>
      <c r="E661" s="30"/>
      <c r="F661" s="3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5">
      <c r="A662" s="20"/>
      <c r="B662" s="20"/>
      <c r="C662" s="20"/>
      <c r="D662" s="20"/>
      <c r="E662" s="30"/>
      <c r="F662" s="3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5">
      <c r="A663" s="20"/>
      <c r="B663" s="20"/>
      <c r="C663" s="20"/>
      <c r="D663" s="20"/>
      <c r="E663" s="30"/>
      <c r="F663" s="3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5">
      <c r="A664" s="20"/>
      <c r="B664" s="20"/>
      <c r="C664" s="20"/>
      <c r="D664" s="20"/>
      <c r="E664" s="30"/>
      <c r="F664" s="3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5">
      <c r="A665" s="20"/>
      <c r="B665" s="20"/>
      <c r="C665" s="20"/>
      <c r="D665" s="20"/>
      <c r="E665" s="30"/>
      <c r="F665" s="3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5">
      <c r="A666" s="20"/>
      <c r="B666" s="20"/>
      <c r="C666" s="20"/>
      <c r="D666" s="20"/>
      <c r="E666" s="30"/>
      <c r="F666" s="3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5">
      <c r="A667" s="20"/>
      <c r="B667" s="20"/>
      <c r="C667" s="20"/>
      <c r="D667" s="20"/>
      <c r="E667" s="30"/>
      <c r="F667" s="3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5">
      <c r="A668" s="20"/>
      <c r="B668" s="20"/>
      <c r="C668" s="20"/>
      <c r="D668" s="20"/>
      <c r="E668" s="30"/>
      <c r="F668" s="3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5">
      <c r="A669" s="20"/>
      <c r="B669" s="20"/>
      <c r="C669" s="20"/>
      <c r="D669" s="20"/>
      <c r="E669" s="30"/>
      <c r="F669" s="3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5">
      <c r="A670" s="20"/>
      <c r="B670" s="20"/>
      <c r="C670" s="20"/>
      <c r="D670" s="20"/>
      <c r="E670" s="30"/>
      <c r="F670" s="3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5">
      <c r="A671" s="20"/>
      <c r="B671" s="20"/>
      <c r="C671" s="20"/>
      <c r="D671" s="20"/>
      <c r="E671" s="30"/>
      <c r="F671" s="3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5">
      <c r="A672" s="20"/>
      <c r="B672" s="20"/>
      <c r="C672" s="20"/>
      <c r="D672" s="20"/>
      <c r="E672" s="30"/>
      <c r="F672" s="3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5">
      <c r="A673" s="20"/>
      <c r="B673" s="20"/>
      <c r="C673" s="20"/>
      <c r="D673" s="20"/>
      <c r="E673" s="30"/>
      <c r="F673" s="3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5">
      <c r="A674" s="20"/>
      <c r="B674" s="20"/>
      <c r="C674" s="20"/>
      <c r="D674" s="20"/>
      <c r="E674" s="30"/>
      <c r="F674" s="3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5">
      <c r="A675" s="20"/>
      <c r="B675" s="20"/>
      <c r="C675" s="20"/>
      <c r="D675" s="20"/>
      <c r="E675" s="30"/>
      <c r="F675" s="3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5">
      <c r="A676" s="20"/>
      <c r="B676" s="20"/>
      <c r="C676" s="20"/>
      <c r="D676" s="20"/>
      <c r="E676" s="30"/>
      <c r="F676" s="3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5">
      <c r="A677" s="20"/>
      <c r="B677" s="20"/>
      <c r="C677" s="20"/>
      <c r="D677" s="20"/>
      <c r="E677" s="30"/>
      <c r="F677" s="3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5">
      <c r="A678" s="20"/>
      <c r="B678" s="20"/>
      <c r="C678" s="20"/>
      <c r="D678" s="20"/>
      <c r="E678" s="30"/>
      <c r="F678" s="3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5">
      <c r="A679" s="20"/>
      <c r="B679" s="20"/>
      <c r="C679" s="20"/>
      <c r="D679" s="20"/>
      <c r="E679" s="30"/>
      <c r="F679" s="3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5">
      <c r="A680" s="20"/>
      <c r="B680" s="20"/>
      <c r="C680" s="20"/>
      <c r="D680" s="20"/>
      <c r="E680" s="30"/>
      <c r="F680" s="3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5">
      <c r="A681" s="20"/>
      <c r="B681" s="20"/>
      <c r="C681" s="20"/>
      <c r="D681" s="20"/>
      <c r="E681" s="30"/>
      <c r="F681" s="3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5">
      <c r="A682" s="20"/>
      <c r="B682" s="20"/>
      <c r="C682" s="20"/>
      <c r="D682" s="20"/>
      <c r="E682" s="30"/>
      <c r="F682" s="3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5">
      <c r="A683" s="20"/>
      <c r="B683" s="20"/>
      <c r="C683" s="20"/>
      <c r="D683" s="20"/>
      <c r="E683" s="30"/>
      <c r="F683" s="3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5">
      <c r="A684" s="20"/>
      <c r="B684" s="20"/>
      <c r="C684" s="20"/>
      <c r="D684" s="20"/>
      <c r="E684" s="30"/>
      <c r="F684" s="3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5">
      <c r="A685" s="20"/>
      <c r="B685" s="20"/>
      <c r="C685" s="20"/>
      <c r="D685" s="20"/>
      <c r="E685" s="30"/>
      <c r="F685" s="3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5">
      <c r="A686" s="20"/>
      <c r="B686" s="20"/>
      <c r="C686" s="20"/>
      <c r="D686" s="20"/>
      <c r="E686" s="30"/>
      <c r="F686" s="3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5">
      <c r="A687" s="20"/>
      <c r="B687" s="20"/>
      <c r="C687" s="20"/>
      <c r="D687" s="20"/>
      <c r="E687" s="30"/>
      <c r="F687" s="3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5">
      <c r="A688" s="20"/>
      <c r="B688" s="20"/>
      <c r="C688" s="20"/>
      <c r="D688" s="20"/>
      <c r="E688" s="30"/>
      <c r="F688" s="3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5">
      <c r="A689" s="20"/>
      <c r="B689" s="20"/>
      <c r="C689" s="20"/>
      <c r="D689" s="20"/>
      <c r="E689" s="30"/>
      <c r="F689" s="3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5">
      <c r="A690" s="20"/>
      <c r="B690" s="20"/>
      <c r="C690" s="20"/>
      <c r="D690" s="20"/>
      <c r="E690" s="30"/>
      <c r="F690" s="3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5">
      <c r="A691" s="20"/>
      <c r="B691" s="20"/>
      <c r="C691" s="20"/>
      <c r="D691" s="20"/>
      <c r="E691" s="30"/>
      <c r="F691" s="3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5">
      <c r="A692" s="20"/>
      <c r="B692" s="20"/>
      <c r="C692" s="20"/>
      <c r="D692" s="20"/>
      <c r="E692" s="30"/>
      <c r="F692" s="3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5">
      <c r="A693" s="20"/>
      <c r="B693" s="20"/>
      <c r="C693" s="20"/>
      <c r="D693" s="20"/>
      <c r="E693" s="30"/>
      <c r="F693" s="3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5">
      <c r="A694" s="20"/>
      <c r="B694" s="20"/>
      <c r="C694" s="20"/>
      <c r="D694" s="20"/>
      <c r="E694" s="30"/>
      <c r="F694" s="3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5">
      <c r="A695" s="20"/>
      <c r="B695" s="20"/>
      <c r="C695" s="20"/>
      <c r="D695" s="20"/>
      <c r="E695" s="30"/>
      <c r="F695" s="3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5">
      <c r="A696" s="20"/>
      <c r="B696" s="20"/>
      <c r="C696" s="20"/>
      <c r="D696" s="20"/>
      <c r="E696" s="30"/>
      <c r="F696" s="3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5">
      <c r="A697" s="20"/>
      <c r="B697" s="20"/>
      <c r="C697" s="20"/>
      <c r="D697" s="20"/>
      <c r="E697" s="30"/>
      <c r="F697" s="3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5">
      <c r="A698" s="20"/>
      <c r="B698" s="20"/>
      <c r="C698" s="20"/>
      <c r="D698" s="20"/>
      <c r="E698" s="30"/>
      <c r="F698" s="3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5">
      <c r="A699" s="20"/>
      <c r="B699" s="20"/>
      <c r="C699" s="20"/>
      <c r="D699" s="20"/>
      <c r="E699" s="30"/>
      <c r="F699" s="3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5">
      <c r="A700" s="20"/>
      <c r="B700" s="20"/>
      <c r="C700" s="20"/>
      <c r="D700" s="20"/>
      <c r="E700" s="30"/>
      <c r="F700" s="3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5">
      <c r="A701" s="20"/>
      <c r="B701" s="20"/>
      <c r="C701" s="20"/>
      <c r="D701" s="20"/>
      <c r="E701" s="30"/>
      <c r="F701" s="3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5">
      <c r="A702" s="20"/>
      <c r="B702" s="20"/>
      <c r="C702" s="20"/>
      <c r="D702" s="20"/>
      <c r="E702" s="30"/>
      <c r="F702" s="3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5">
      <c r="A703" s="20"/>
      <c r="B703" s="20"/>
      <c r="C703" s="20"/>
      <c r="D703" s="20"/>
      <c r="E703" s="30"/>
      <c r="F703" s="3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5">
      <c r="A704" s="20"/>
      <c r="B704" s="20"/>
      <c r="C704" s="20"/>
      <c r="D704" s="20"/>
      <c r="E704" s="30"/>
      <c r="F704" s="3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5">
      <c r="A705" s="20"/>
      <c r="B705" s="20"/>
      <c r="C705" s="20"/>
      <c r="D705" s="20"/>
      <c r="E705" s="30"/>
      <c r="F705" s="3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5">
      <c r="A706" s="20"/>
      <c r="B706" s="20"/>
      <c r="C706" s="20"/>
      <c r="D706" s="20"/>
      <c r="E706" s="30"/>
      <c r="F706" s="3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5">
      <c r="A707" s="20"/>
      <c r="B707" s="20"/>
      <c r="C707" s="20"/>
      <c r="D707" s="20"/>
      <c r="E707" s="30"/>
      <c r="F707" s="3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5">
      <c r="A708" s="20"/>
      <c r="B708" s="20"/>
      <c r="C708" s="20"/>
      <c r="D708" s="20"/>
      <c r="E708" s="30"/>
      <c r="F708" s="3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5">
      <c r="A709" s="20"/>
      <c r="B709" s="20"/>
      <c r="C709" s="20"/>
      <c r="D709" s="20"/>
      <c r="E709" s="30"/>
      <c r="F709" s="3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5">
      <c r="A710" s="20"/>
      <c r="B710" s="20"/>
      <c r="C710" s="20"/>
      <c r="D710" s="20"/>
      <c r="E710" s="30"/>
      <c r="F710" s="3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5">
      <c r="A711" s="20"/>
      <c r="B711" s="20"/>
      <c r="C711" s="20"/>
      <c r="D711" s="20"/>
      <c r="E711" s="30"/>
      <c r="F711" s="3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5">
      <c r="A712" s="20"/>
      <c r="B712" s="20"/>
      <c r="C712" s="20"/>
      <c r="D712" s="20"/>
      <c r="E712" s="30"/>
      <c r="F712" s="3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5">
      <c r="A713" s="20"/>
      <c r="B713" s="20"/>
      <c r="C713" s="20"/>
      <c r="D713" s="20"/>
      <c r="E713" s="30"/>
      <c r="F713" s="3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5">
      <c r="A714" s="20"/>
      <c r="B714" s="20"/>
      <c r="C714" s="20"/>
      <c r="D714" s="20"/>
      <c r="E714" s="30"/>
      <c r="F714" s="3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5">
      <c r="A715" s="20"/>
      <c r="B715" s="20"/>
      <c r="C715" s="20"/>
      <c r="D715" s="20"/>
      <c r="E715" s="30"/>
      <c r="F715" s="3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5">
      <c r="A716" s="20"/>
      <c r="B716" s="20"/>
      <c r="C716" s="20"/>
      <c r="D716" s="20"/>
      <c r="E716" s="30"/>
      <c r="F716" s="3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5">
      <c r="A717" s="20"/>
      <c r="B717" s="20"/>
      <c r="C717" s="20"/>
      <c r="D717" s="20"/>
      <c r="E717" s="30"/>
      <c r="F717" s="3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5">
      <c r="A718" s="20"/>
      <c r="B718" s="20"/>
      <c r="C718" s="20"/>
      <c r="D718" s="20"/>
      <c r="E718" s="30"/>
      <c r="F718" s="3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5">
      <c r="A719" s="20"/>
      <c r="B719" s="20"/>
      <c r="C719" s="20"/>
      <c r="D719" s="20"/>
      <c r="E719" s="30"/>
      <c r="F719" s="3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5">
      <c r="A720" s="20"/>
      <c r="B720" s="20"/>
      <c r="C720" s="20"/>
      <c r="D720" s="20"/>
      <c r="E720" s="30"/>
      <c r="F720" s="3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5">
      <c r="A721" s="20"/>
      <c r="B721" s="20"/>
      <c r="C721" s="20"/>
      <c r="D721" s="20"/>
      <c r="E721" s="30"/>
      <c r="F721" s="3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5">
      <c r="A722" s="20"/>
      <c r="B722" s="20"/>
      <c r="C722" s="20"/>
      <c r="D722" s="20"/>
      <c r="E722" s="30"/>
      <c r="F722" s="3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5">
      <c r="A723" s="20"/>
      <c r="B723" s="20"/>
      <c r="C723" s="20"/>
      <c r="D723" s="20"/>
      <c r="E723" s="30"/>
      <c r="F723" s="3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5">
      <c r="A724" s="20"/>
      <c r="B724" s="20"/>
      <c r="C724" s="20"/>
      <c r="D724" s="20"/>
      <c r="E724" s="30"/>
      <c r="F724" s="3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5">
      <c r="A725" s="20"/>
      <c r="B725" s="20"/>
      <c r="C725" s="20"/>
      <c r="D725" s="20"/>
      <c r="E725" s="30"/>
      <c r="F725" s="3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5">
      <c r="A726" s="20"/>
      <c r="B726" s="20"/>
      <c r="C726" s="20"/>
      <c r="D726" s="20"/>
      <c r="E726" s="30"/>
      <c r="F726" s="3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5">
      <c r="A727" s="20"/>
      <c r="B727" s="20"/>
      <c r="C727" s="20"/>
      <c r="D727" s="20"/>
      <c r="E727" s="30"/>
      <c r="F727" s="3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5">
      <c r="A728" s="20"/>
      <c r="B728" s="20"/>
      <c r="C728" s="20"/>
      <c r="D728" s="20"/>
      <c r="E728" s="30"/>
      <c r="F728" s="3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5">
      <c r="A729" s="20"/>
      <c r="B729" s="20"/>
      <c r="C729" s="20"/>
      <c r="D729" s="20"/>
      <c r="E729" s="30"/>
      <c r="F729" s="3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5">
      <c r="A730" s="20"/>
      <c r="B730" s="20"/>
      <c r="C730" s="20"/>
      <c r="D730" s="20"/>
      <c r="E730" s="30"/>
      <c r="F730" s="3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5">
      <c r="A731" s="20"/>
      <c r="B731" s="20"/>
      <c r="C731" s="20"/>
      <c r="D731" s="20"/>
      <c r="E731" s="30"/>
      <c r="F731" s="3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5">
      <c r="A732" s="20"/>
      <c r="B732" s="20"/>
      <c r="C732" s="20"/>
      <c r="D732" s="20"/>
      <c r="E732" s="30"/>
      <c r="F732" s="3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5">
      <c r="A733" s="20"/>
      <c r="B733" s="20"/>
      <c r="C733" s="20"/>
      <c r="D733" s="20"/>
      <c r="E733" s="30"/>
      <c r="F733" s="3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5">
      <c r="A734" s="20"/>
      <c r="B734" s="20"/>
      <c r="C734" s="20"/>
      <c r="D734" s="20"/>
      <c r="E734" s="30"/>
      <c r="F734" s="3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5">
      <c r="A735" s="20"/>
      <c r="B735" s="20"/>
      <c r="C735" s="20"/>
      <c r="D735" s="20"/>
      <c r="E735" s="30"/>
      <c r="F735" s="3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5">
      <c r="A736" s="20"/>
      <c r="B736" s="20"/>
      <c r="C736" s="20"/>
      <c r="D736" s="20"/>
      <c r="E736" s="30"/>
      <c r="F736" s="3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5">
      <c r="A737" s="20"/>
      <c r="B737" s="20"/>
      <c r="C737" s="20"/>
      <c r="D737" s="20"/>
      <c r="E737" s="30"/>
      <c r="F737" s="3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5">
      <c r="A738" s="20"/>
      <c r="B738" s="20"/>
      <c r="C738" s="20"/>
      <c r="D738" s="20"/>
      <c r="E738" s="30"/>
      <c r="F738" s="3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5">
      <c r="A739" s="20"/>
      <c r="B739" s="20"/>
      <c r="C739" s="20"/>
      <c r="D739" s="20"/>
      <c r="E739" s="30"/>
      <c r="F739" s="3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5">
      <c r="A740" s="20"/>
      <c r="B740" s="20"/>
      <c r="C740" s="20"/>
      <c r="D740" s="20"/>
      <c r="E740" s="30"/>
      <c r="F740" s="3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5">
      <c r="A741" s="20"/>
      <c r="B741" s="20"/>
      <c r="C741" s="20"/>
      <c r="D741" s="20"/>
      <c r="E741" s="30"/>
      <c r="F741" s="3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5">
      <c r="A742" s="20"/>
      <c r="B742" s="20"/>
      <c r="C742" s="20"/>
      <c r="D742" s="20"/>
      <c r="E742" s="30"/>
      <c r="F742" s="3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5">
      <c r="A743" s="20"/>
      <c r="B743" s="20"/>
      <c r="C743" s="20"/>
      <c r="D743" s="20"/>
      <c r="E743" s="30"/>
      <c r="F743" s="3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5">
      <c r="A744" s="20"/>
      <c r="B744" s="20"/>
      <c r="C744" s="20"/>
      <c r="D744" s="20"/>
      <c r="E744" s="30"/>
      <c r="F744" s="3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5">
      <c r="A745" s="20"/>
      <c r="B745" s="20"/>
      <c r="C745" s="20"/>
      <c r="D745" s="20"/>
      <c r="E745" s="30"/>
      <c r="F745" s="3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5">
      <c r="A746" s="20"/>
      <c r="B746" s="20"/>
      <c r="C746" s="20"/>
      <c r="D746" s="20"/>
      <c r="E746" s="30"/>
      <c r="F746" s="3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5">
      <c r="A747" s="20"/>
      <c r="B747" s="20"/>
      <c r="C747" s="20"/>
      <c r="D747" s="20"/>
      <c r="E747" s="30"/>
      <c r="F747" s="3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5">
      <c r="A748" s="20"/>
      <c r="B748" s="20"/>
      <c r="C748" s="20"/>
      <c r="D748" s="20"/>
      <c r="E748" s="30"/>
      <c r="F748" s="3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5">
      <c r="A749" s="20"/>
      <c r="B749" s="20"/>
      <c r="C749" s="20"/>
      <c r="D749" s="20"/>
      <c r="E749" s="30"/>
      <c r="F749" s="3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5">
      <c r="A750" s="20"/>
      <c r="B750" s="20"/>
      <c r="C750" s="20"/>
      <c r="D750" s="20"/>
      <c r="E750" s="30"/>
      <c r="F750" s="3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5">
      <c r="A751" s="20"/>
      <c r="B751" s="20"/>
      <c r="C751" s="20"/>
      <c r="D751" s="20"/>
      <c r="E751" s="30"/>
      <c r="F751" s="3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5">
      <c r="A752" s="20"/>
      <c r="B752" s="20"/>
      <c r="C752" s="20"/>
      <c r="D752" s="20"/>
      <c r="E752" s="30"/>
      <c r="F752" s="3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5">
      <c r="A753" s="20"/>
      <c r="B753" s="20"/>
      <c r="C753" s="20"/>
      <c r="D753" s="20"/>
      <c r="E753" s="30"/>
      <c r="F753" s="3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5">
      <c r="A754" s="20"/>
      <c r="B754" s="20"/>
      <c r="C754" s="20"/>
      <c r="D754" s="20"/>
      <c r="E754" s="30"/>
      <c r="F754" s="3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5">
      <c r="A755" s="20"/>
      <c r="B755" s="20"/>
      <c r="C755" s="20"/>
      <c r="D755" s="20"/>
      <c r="E755" s="30"/>
      <c r="F755" s="3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5">
      <c r="A756" s="20"/>
      <c r="B756" s="20"/>
      <c r="C756" s="20"/>
      <c r="D756" s="20"/>
      <c r="E756" s="30"/>
      <c r="F756" s="3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5">
      <c r="A757" s="20"/>
      <c r="B757" s="20"/>
      <c r="C757" s="20"/>
      <c r="D757" s="20"/>
      <c r="E757" s="30"/>
      <c r="F757" s="3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5">
      <c r="A758" s="20"/>
      <c r="B758" s="20"/>
      <c r="C758" s="20"/>
      <c r="D758" s="20"/>
      <c r="E758" s="30"/>
      <c r="F758" s="3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5">
      <c r="A759" s="20"/>
      <c r="B759" s="20"/>
      <c r="C759" s="20"/>
      <c r="D759" s="20"/>
      <c r="E759" s="30"/>
      <c r="F759" s="3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5">
      <c r="A760" s="20"/>
      <c r="B760" s="20"/>
      <c r="C760" s="20"/>
      <c r="D760" s="20"/>
      <c r="E760" s="30"/>
      <c r="F760" s="3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5">
      <c r="A761" s="20"/>
      <c r="B761" s="20"/>
      <c r="C761" s="20"/>
      <c r="D761" s="20"/>
      <c r="E761" s="30"/>
      <c r="F761" s="3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5">
      <c r="A762" s="20"/>
      <c r="B762" s="20"/>
      <c r="C762" s="20"/>
      <c r="D762" s="20"/>
      <c r="E762" s="30"/>
      <c r="F762" s="3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5">
      <c r="A763" s="20"/>
      <c r="B763" s="20"/>
      <c r="C763" s="20"/>
      <c r="D763" s="20"/>
      <c r="E763" s="30"/>
      <c r="F763" s="3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5">
      <c r="A764" s="20"/>
      <c r="B764" s="20"/>
      <c r="C764" s="20"/>
      <c r="D764" s="20"/>
      <c r="E764" s="30"/>
      <c r="F764" s="3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5">
      <c r="A765" s="20"/>
      <c r="B765" s="20"/>
      <c r="C765" s="20"/>
      <c r="D765" s="20"/>
      <c r="E765" s="30"/>
      <c r="F765" s="3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5">
      <c r="A766" s="20"/>
      <c r="B766" s="20"/>
      <c r="C766" s="20"/>
      <c r="D766" s="20"/>
      <c r="E766" s="30"/>
      <c r="F766" s="3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5">
      <c r="A767" s="20"/>
      <c r="B767" s="20"/>
      <c r="C767" s="20"/>
      <c r="D767" s="20"/>
      <c r="E767" s="30"/>
      <c r="F767" s="3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5">
      <c r="A768" s="20"/>
      <c r="B768" s="20"/>
      <c r="C768" s="20"/>
      <c r="D768" s="20"/>
      <c r="E768" s="30"/>
      <c r="F768" s="3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5">
      <c r="A769" s="20"/>
      <c r="B769" s="20"/>
      <c r="C769" s="20"/>
      <c r="D769" s="20"/>
      <c r="E769" s="30"/>
      <c r="F769" s="3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5">
      <c r="A770" s="20"/>
      <c r="B770" s="20"/>
      <c r="C770" s="20"/>
      <c r="D770" s="20"/>
      <c r="E770" s="30"/>
      <c r="F770" s="3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5">
      <c r="A771" s="20"/>
      <c r="B771" s="20"/>
      <c r="C771" s="20"/>
      <c r="D771" s="20"/>
      <c r="E771" s="30"/>
      <c r="F771" s="3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5">
      <c r="A772" s="20"/>
      <c r="B772" s="20"/>
      <c r="C772" s="20"/>
      <c r="D772" s="20"/>
      <c r="E772" s="30"/>
      <c r="F772" s="3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5">
      <c r="A773" s="20"/>
      <c r="B773" s="20"/>
      <c r="C773" s="20"/>
      <c r="D773" s="20"/>
      <c r="E773" s="30"/>
      <c r="F773" s="3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5">
      <c r="A774" s="20"/>
      <c r="B774" s="20"/>
      <c r="C774" s="20"/>
      <c r="D774" s="20"/>
      <c r="E774" s="30"/>
      <c r="F774" s="3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5">
      <c r="A775" s="20"/>
      <c r="B775" s="20"/>
      <c r="C775" s="20"/>
      <c r="D775" s="20"/>
      <c r="E775" s="30"/>
      <c r="F775" s="3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5">
      <c r="A776" s="20"/>
      <c r="B776" s="20"/>
      <c r="C776" s="20"/>
      <c r="D776" s="20"/>
      <c r="E776" s="30"/>
      <c r="F776" s="3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5">
      <c r="A777" s="20"/>
      <c r="B777" s="20"/>
      <c r="C777" s="20"/>
      <c r="D777" s="20"/>
      <c r="E777" s="30"/>
      <c r="F777" s="3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5">
      <c r="A778" s="20"/>
      <c r="B778" s="20"/>
      <c r="C778" s="20"/>
      <c r="D778" s="20"/>
      <c r="E778" s="30"/>
      <c r="F778" s="3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5">
      <c r="A779" s="20"/>
      <c r="B779" s="20"/>
      <c r="C779" s="20"/>
      <c r="D779" s="20"/>
      <c r="E779" s="30"/>
      <c r="F779" s="3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5">
      <c r="A780" s="20"/>
      <c r="B780" s="20"/>
      <c r="C780" s="20"/>
      <c r="D780" s="20"/>
      <c r="E780" s="30"/>
      <c r="F780" s="3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5">
      <c r="A781" s="20"/>
      <c r="B781" s="20"/>
      <c r="C781" s="20"/>
      <c r="D781" s="20"/>
      <c r="E781" s="30"/>
      <c r="F781" s="3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5">
      <c r="A782" s="20"/>
      <c r="B782" s="20"/>
      <c r="C782" s="20"/>
      <c r="D782" s="20"/>
      <c r="E782" s="30"/>
      <c r="F782" s="3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5">
      <c r="A783" s="20"/>
      <c r="B783" s="20"/>
      <c r="C783" s="20"/>
      <c r="D783" s="20"/>
      <c r="E783" s="30"/>
      <c r="F783" s="3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5">
      <c r="A784" s="20"/>
      <c r="B784" s="20"/>
      <c r="C784" s="20"/>
      <c r="D784" s="20"/>
      <c r="E784" s="30"/>
      <c r="F784" s="3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5">
      <c r="A785" s="20"/>
      <c r="B785" s="20"/>
      <c r="C785" s="20"/>
      <c r="D785" s="20"/>
      <c r="E785" s="30"/>
      <c r="F785" s="3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5">
      <c r="A786" s="20"/>
      <c r="B786" s="20"/>
      <c r="C786" s="20"/>
      <c r="D786" s="20"/>
      <c r="E786" s="30"/>
      <c r="F786" s="3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5">
      <c r="A787" s="20"/>
      <c r="B787" s="20"/>
      <c r="C787" s="20"/>
      <c r="D787" s="20"/>
      <c r="E787" s="30"/>
      <c r="F787" s="3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5">
      <c r="A788" s="20"/>
      <c r="B788" s="20"/>
      <c r="C788" s="20"/>
      <c r="D788" s="20"/>
      <c r="E788" s="30"/>
      <c r="F788" s="3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5">
      <c r="A789" s="20"/>
      <c r="B789" s="20"/>
      <c r="C789" s="20"/>
      <c r="D789" s="20"/>
      <c r="E789" s="30"/>
      <c r="F789" s="3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5">
      <c r="A790" s="20"/>
      <c r="B790" s="20"/>
      <c r="C790" s="20"/>
      <c r="D790" s="20"/>
      <c r="E790" s="30"/>
      <c r="F790" s="3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5">
      <c r="A791" s="20"/>
      <c r="B791" s="20"/>
      <c r="C791" s="20"/>
      <c r="D791" s="20"/>
      <c r="E791" s="30"/>
      <c r="F791" s="3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5">
      <c r="A792" s="20"/>
      <c r="B792" s="20"/>
      <c r="C792" s="20"/>
      <c r="D792" s="20"/>
      <c r="E792" s="30"/>
      <c r="F792" s="3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5">
      <c r="A793" s="20"/>
      <c r="B793" s="20"/>
      <c r="C793" s="20"/>
      <c r="D793" s="20"/>
      <c r="E793" s="30"/>
      <c r="F793" s="3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5">
      <c r="A794" s="20"/>
      <c r="B794" s="20"/>
      <c r="C794" s="20"/>
      <c r="D794" s="20"/>
      <c r="E794" s="30"/>
      <c r="F794" s="3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5">
      <c r="A795" s="20"/>
      <c r="B795" s="20"/>
      <c r="C795" s="20"/>
      <c r="D795" s="20"/>
      <c r="E795" s="30"/>
      <c r="F795" s="3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5">
      <c r="A796" s="20"/>
      <c r="B796" s="20"/>
      <c r="C796" s="20"/>
      <c r="D796" s="20"/>
      <c r="E796" s="30"/>
      <c r="F796" s="3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5">
      <c r="A797" s="20"/>
      <c r="B797" s="20"/>
      <c r="C797" s="20"/>
      <c r="D797" s="20"/>
      <c r="E797" s="30"/>
      <c r="F797" s="3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5">
      <c r="A798" s="20"/>
      <c r="B798" s="20"/>
      <c r="C798" s="20"/>
      <c r="D798" s="20"/>
      <c r="E798" s="30"/>
      <c r="F798" s="3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5">
      <c r="A799" s="20"/>
      <c r="B799" s="20"/>
      <c r="C799" s="20"/>
      <c r="D799" s="20"/>
      <c r="E799" s="30"/>
      <c r="F799" s="3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5">
      <c r="A800" s="20"/>
      <c r="B800" s="20"/>
      <c r="C800" s="20"/>
      <c r="D800" s="20"/>
      <c r="E800" s="30"/>
      <c r="F800" s="3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5">
      <c r="A801" s="20"/>
      <c r="B801" s="20"/>
      <c r="C801" s="20"/>
      <c r="D801" s="20"/>
      <c r="E801" s="30"/>
      <c r="F801" s="3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5">
      <c r="A802" s="20"/>
      <c r="B802" s="20"/>
      <c r="C802" s="20"/>
      <c r="D802" s="20"/>
      <c r="E802" s="30"/>
      <c r="F802" s="3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5">
      <c r="A803" s="20"/>
      <c r="B803" s="20"/>
      <c r="C803" s="20"/>
      <c r="D803" s="20"/>
      <c r="E803" s="30"/>
      <c r="F803" s="3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5">
      <c r="A804" s="20"/>
      <c r="B804" s="20"/>
      <c r="C804" s="20"/>
      <c r="D804" s="20"/>
      <c r="E804" s="30"/>
      <c r="F804" s="3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5">
      <c r="A805" s="20"/>
      <c r="B805" s="20"/>
      <c r="C805" s="20"/>
      <c r="D805" s="20"/>
      <c r="E805" s="30"/>
      <c r="F805" s="3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5">
      <c r="A806" s="20"/>
      <c r="B806" s="20"/>
      <c r="C806" s="20"/>
      <c r="D806" s="20"/>
      <c r="E806" s="30"/>
      <c r="F806" s="3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5">
      <c r="A807" s="20"/>
      <c r="B807" s="20"/>
      <c r="C807" s="20"/>
      <c r="D807" s="20"/>
      <c r="E807" s="30"/>
      <c r="F807" s="3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5">
      <c r="A808" s="20"/>
      <c r="B808" s="20"/>
      <c r="C808" s="20"/>
      <c r="D808" s="20"/>
      <c r="E808" s="30"/>
      <c r="F808" s="3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5">
      <c r="A809" s="20"/>
      <c r="B809" s="20"/>
      <c r="C809" s="20"/>
      <c r="D809" s="20"/>
      <c r="E809" s="30"/>
      <c r="F809" s="3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5">
      <c r="A810" s="20"/>
      <c r="B810" s="20"/>
      <c r="C810" s="20"/>
      <c r="D810" s="20"/>
      <c r="E810" s="30"/>
      <c r="F810" s="3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5">
      <c r="A811" s="20"/>
      <c r="B811" s="20"/>
      <c r="C811" s="20"/>
      <c r="D811" s="20"/>
      <c r="E811" s="30"/>
      <c r="F811" s="3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5">
      <c r="A812" s="20"/>
      <c r="B812" s="20"/>
      <c r="C812" s="20"/>
      <c r="D812" s="20"/>
      <c r="E812" s="30"/>
      <c r="F812" s="3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5">
      <c r="A813" s="20"/>
      <c r="B813" s="20"/>
      <c r="C813" s="20"/>
      <c r="D813" s="20"/>
      <c r="E813" s="30"/>
      <c r="F813" s="3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5">
      <c r="A814" s="20"/>
      <c r="B814" s="20"/>
      <c r="C814" s="20"/>
      <c r="D814" s="20"/>
      <c r="E814" s="30"/>
      <c r="F814" s="3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5">
      <c r="A815" s="20"/>
      <c r="B815" s="20"/>
      <c r="C815" s="20"/>
      <c r="D815" s="20"/>
      <c r="E815" s="30"/>
      <c r="F815" s="3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5">
      <c r="A816" s="20"/>
      <c r="B816" s="20"/>
      <c r="C816" s="20"/>
      <c r="D816" s="20"/>
      <c r="E816" s="30"/>
      <c r="F816" s="3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5">
      <c r="A817" s="20"/>
      <c r="B817" s="20"/>
      <c r="C817" s="20"/>
      <c r="D817" s="20"/>
      <c r="E817" s="30"/>
      <c r="F817" s="3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5">
      <c r="A818" s="20"/>
      <c r="B818" s="20"/>
      <c r="C818" s="20"/>
      <c r="D818" s="20"/>
      <c r="E818" s="30"/>
      <c r="F818" s="3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5">
      <c r="A819" s="20"/>
      <c r="B819" s="20"/>
      <c r="C819" s="20"/>
      <c r="D819" s="20"/>
      <c r="E819" s="30"/>
      <c r="F819" s="3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5">
      <c r="A820" s="20"/>
      <c r="B820" s="20"/>
      <c r="C820" s="20"/>
      <c r="D820" s="20"/>
      <c r="E820" s="30"/>
      <c r="F820" s="3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5">
      <c r="A821" s="20"/>
      <c r="B821" s="20"/>
      <c r="C821" s="20"/>
      <c r="D821" s="20"/>
      <c r="E821" s="30"/>
      <c r="F821" s="3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5">
      <c r="A822" s="20"/>
      <c r="B822" s="20"/>
      <c r="C822" s="20"/>
      <c r="D822" s="20"/>
      <c r="E822" s="30"/>
      <c r="F822" s="3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5">
      <c r="A823" s="20"/>
      <c r="B823" s="20"/>
      <c r="C823" s="20"/>
      <c r="D823" s="20"/>
      <c r="E823" s="30"/>
      <c r="F823" s="3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5">
      <c r="A824" s="20"/>
      <c r="B824" s="20"/>
      <c r="C824" s="20"/>
      <c r="D824" s="20"/>
      <c r="E824" s="30"/>
      <c r="F824" s="3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5">
      <c r="A825" s="20"/>
      <c r="B825" s="20"/>
      <c r="C825" s="20"/>
      <c r="D825" s="20"/>
      <c r="E825" s="30"/>
      <c r="F825" s="3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5">
      <c r="A826" s="20"/>
      <c r="B826" s="20"/>
      <c r="C826" s="20"/>
      <c r="D826" s="20"/>
      <c r="E826" s="30"/>
      <c r="F826" s="3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5">
      <c r="A827" s="20"/>
      <c r="B827" s="20"/>
      <c r="C827" s="20"/>
      <c r="D827" s="20"/>
      <c r="E827" s="30"/>
      <c r="F827" s="3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5">
      <c r="A828" s="20"/>
      <c r="B828" s="20"/>
      <c r="C828" s="20"/>
      <c r="D828" s="20"/>
      <c r="E828" s="30"/>
      <c r="F828" s="3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5">
      <c r="A829" s="20"/>
      <c r="B829" s="20"/>
      <c r="C829" s="20"/>
      <c r="D829" s="20"/>
      <c r="E829" s="30"/>
      <c r="F829" s="3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5">
      <c r="A830" s="20"/>
      <c r="B830" s="20"/>
      <c r="C830" s="20"/>
      <c r="D830" s="20"/>
      <c r="E830" s="30"/>
      <c r="F830" s="3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5">
      <c r="A831" s="20"/>
      <c r="B831" s="20"/>
      <c r="C831" s="20"/>
      <c r="D831" s="20"/>
      <c r="E831" s="30"/>
      <c r="F831" s="3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5">
      <c r="A832" s="20"/>
      <c r="B832" s="20"/>
      <c r="C832" s="20"/>
      <c r="D832" s="20"/>
      <c r="E832" s="30"/>
      <c r="F832" s="3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5">
      <c r="A833" s="20"/>
      <c r="B833" s="20"/>
      <c r="C833" s="20"/>
      <c r="D833" s="20"/>
      <c r="E833" s="30"/>
      <c r="F833" s="3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5">
      <c r="A834" s="20"/>
      <c r="B834" s="20"/>
      <c r="C834" s="20"/>
      <c r="D834" s="20"/>
      <c r="E834" s="30"/>
      <c r="F834" s="3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5">
      <c r="A835" s="20"/>
      <c r="B835" s="20"/>
      <c r="C835" s="20"/>
      <c r="D835" s="20"/>
      <c r="E835" s="30"/>
      <c r="F835" s="3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5">
      <c r="A836" s="20"/>
      <c r="B836" s="20"/>
      <c r="C836" s="20"/>
      <c r="D836" s="20"/>
      <c r="E836" s="30"/>
      <c r="F836" s="3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5">
      <c r="A837" s="20"/>
      <c r="B837" s="20"/>
      <c r="C837" s="20"/>
      <c r="D837" s="20"/>
      <c r="E837" s="30"/>
      <c r="F837" s="3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5">
      <c r="A838" s="20"/>
      <c r="B838" s="20"/>
      <c r="C838" s="20"/>
      <c r="D838" s="20"/>
      <c r="E838" s="30"/>
      <c r="F838" s="3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5">
      <c r="A839" s="20"/>
      <c r="B839" s="20"/>
      <c r="C839" s="20"/>
      <c r="D839" s="20"/>
      <c r="E839" s="30"/>
      <c r="F839" s="3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5">
      <c r="A840" s="20"/>
      <c r="B840" s="20"/>
      <c r="C840" s="20"/>
      <c r="D840" s="20"/>
      <c r="E840" s="30"/>
      <c r="F840" s="3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5">
      <c r="A841" s="20"/>
      <c r="B841" s="20"/>
      <c r="C841" s="20"/>
      <c r="D841" s="20"/>
      <c r="E841" s="30"/>
      <c r="F841" s="3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5">
      <c r="A842" s="20"/>
      <c r="B842" s="20"/>
      <c r="C842" s="20"/>
      <c r="D842" s="20"/>
      <c r="E842" s="30"/>
      <c r="F842" s="3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5">
      <c r="A843" s="20"/>
      <c r="B843" s="20"/>
      <c r="C843" s="20"/>
      <c r="D843" s="20"/>
      <c r="E843" s="30"/>
      <c r="F843" s="3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5">
      <c r="A844" s="20"/>
      <c r="B844" s="20"/>
      <c r="C844" s="20"/>
      <c r="D844" s="20"/>
      <c r="E844" s="30"/>
      <c r="F844" s="3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5">
      <c r="A845" s="20"/>
      <c r="B845" s="20"/>
      <c r="C845" s="20"/>
      <c r="D845" s="20"/>
      <c r="E845" s="30"/>
      <c r="F845" s="3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5">
      <c r="A846" s="20"/>
      <c r="B846" s="20"/>
      <c r="C846" s="20"/>
      <c r="D846" s="20"/>
      <c r="E846" s="30"/>
      <c r="F846" s="3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5">
      <c r="A847" s="20"/>
      <c r="B847" s="20"/>
      <c r="C847" s="20"/>
      <c r="D847" s="20"/>
      <c r="E847" s="30"/>
      <c r="F847" s="3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5">
      <c r="A848" s="20"/>
      <c r="B848" s="20"/>
      <c r="C848" s="20"/>
      <c r="D848" s="20"/>
      <c r="E848" s="30"/>
      <c r="F848" s="3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5">
      <c r="A849" s="20"/>
      <c r="B849" s="20"/>
      <c r="C849" s="20"/>
      <c r="D849" s="20"/>
      <c r="E849" s="30"/>
      <c r="F849" s="3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5">
      <c r="A850" s="20"/>
      <c r="B850" s="20"/>
      <c r="C850" s="20"/>
      <c r="D850" s="20"/>
      <c r="E850" s="30"/>
      <c r="F850" s="3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5">
      <c r="A851" s="20"/>
      <c r="B851" s="20"/>
      <c r="C851" s="20"/>
      <c r="D851" s="20"/>
      <c r="E851" s="30"/>
      <c r="F851" s="3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5">
      <c r="A852" s="20"/>
      <c r="B852" s="20"/>
      <c r="C852" s="20"/>
      <c r="D852" s="20"/>
      <c r="E852" s="30"/>
      <c r="F852" s="3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5">
      <c r="A853" s="20"/>
      <c r="B853" s="20"/>
      <c r="C853" s="20"/>
      <c r="D853" s="20"/>
      <c r="E853" s="30"/>
      <c r="F853" s="3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5">
      <c r="A854" s="20"/>
      <c r="B854" s="20"/>
      <c r="C854" s="20"/>
      <c r="D854" s="20"/>
      <c r="E854" s="30"/>
      <c r="F854" s="3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5">
      <c r="A855" s="20"/>
      <c r="B855" s="20"/>
      <c r="C855" s="20"/>
      <c r="D855" s="20"/>
      <c r="E855" s="30"/>
      <c r="F855" s="3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5">
      <c r="A856" s="20"/>
      <c r="B856" s="20"/>
      <c r="C856" s="20"/>
      <c r="D856" s="20"/>
      <c r="E856" s="30"/>
      <c r="F856" s="3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5">
      <c r="A857" s="20"/>
      <c r="B857" s="20"/>
      <c r="C857" s="20"/>
      <c r="D857" s="20"/>
      <c r="E857" s="30"/>
      <c r="F857" s="3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5">
      <c r="A858" s="20"/>
      <c r="B858" s="20"/>
      <c r="C858" s="20"/>
      <c r="D858" s="20"/>
      <c r="E858" s="30"/>
      <c r="F858" s="3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5">
      <c r="A859" s="20"/>
      <c r="B859" s="20"/>
      <c r="C859" s="20"/>
      <c r="D859" s="20"/>
      <c r="E859" s="30"/>
      <c r="F859" s="3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5">
      <c r="A860" s="20"/>
      <c r="B860" s="20"/>
      <c r="C860" s="20"/>
      <c r="D860" s="20"/>
      <c r="E860" s="30"/>
      <c r="F860" s="3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5">
      <c r="A861" s="20"/>
      <c r="B861" s="20"/>
      <c r="C861" s="20"/>
      <c r="D861" s="20"/>
      <c r="E861" s="30"/>
      <c r="F861" s="3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5">
      <c r="A862" s="20"/>
      <c r="B862" s="20"/>
      <c r="C862" s="20"/>
      <c r="D862" s="20"/>
      <c r="E862" s="30"/>
      <c r="F862" s="3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5">
      <c r="A863" s="20"/>
      <c r="B863" s="20"/>
      <c r="C863" s="20"/>
      <c r="D863" s="20"/>
      <c r="E863" s="30"/>
      <c r="F863" s="3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5">
      <c r="A864" s="20"/>
      <c r="B864" s="20"/>
      <c r="C864" s="20"/>
      <c r="D864" s="20"/>
      <c r="E864" s="30"/>
      <c r="F864" s="3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5">
      <c r="A865" s="20"/>
      <c r="B865" s="20"/>
      <c r="C865" s="20"/>
      <c r="D865" s="20"/>
      <c r="E865" s="30"/>
      <c r="F865" s="3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5">
      <c r="A866" s="20"/>
      <c r="B866" s="20"/>
      <c r="C866" s="20"/>
      <c r="D866" s="20"/>
      <c r="E866" s="30"/>
      <c r="F866" s="3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5">
      <c r="A867" s="20"/>
      <c r="B867" s="20"/>
      <c r="C867" s="20"/>
      <c r="D867" s="20"/>
      <c r="E867" s="30"/>
      <c r="F867" s="3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5">
      <c r="A868" s="20"/>
      <c r="B868" s="20"/>
      <c r="C868" s="20"/>
      <c r="D868" s="20"/>
      <c r="E868" s="30"/>
      <c r="F868" s="3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5">
      <c r="A869" s="20"/>
      <c r="B869" s="20"/>
      <c r="C869" s="20"/>
      <c r="D869" s="20"/>
      <c r="E869" s="30"/>
      <c r="F869" s="3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5">
      <c r="A870" s="20"/>
      <c r="B870" s="20"/>
      <c r="C870" s="20"/>
      <c r="D870" s="20"/>
      <c r="E870" s="30"/>
      <c r="F870" s="3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5">
      <c r="A871" s="20"/>
      <c r="B871" s="20"/>
      <c r="C871" s="20"/>
      <c r="D871" s="20"/>
      <c r="E871" s="30"/>
      <c r="F871" s="3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5">
      <c r="A872" s="20"/>
      <c r="B872" s="20"/>
      <c r="C872" s="20"/>
      <c r="D872" s="20"/>
      <c r="E872" s="30"/>
      <c r="F872" s="3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5">
      <c r="A873" s="20"/>
      <c r="B873" s="20"/>
      <c r="C873" s="20"/>
      <c r="D873" s="20"/>
      <c r="E873" s="30"/>
      <c r="F873" s="3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5">
      <c r="A874" s="20"/>
      <c r="B874" s="20"/>
      <c r="C874" s="20"/>
      <c r="D874" s="20"/>
      <c r="E874" s="30"/>
      <c r="F874" s="3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5">
      <c r="A875" s="20"/>
      <c r="B875" s="20"/>
      <c r="C875" s="20"/>
      <c r="D875" s="20"/>
      <c r="E875" s="30"/>
      <c r="F875" s="3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5">
      <c r="A876" s="20"/>
      <c r="B876" s="20"/>
      <c r="C876" s="20"/>
      <c r="D876" s="20"/>
      <c r="E876" s="30"/>
      <c r="F876" s="3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5">
      <c r="A877" s="20"/>
      <c r="B877" s="20"/>
      <c r="C877" s="20"/>
      <c r="D877" s="20"/>
      <c r="E877" s="30"/>
      <c r="F877" s="3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5">
      <c r="A878" s="20"/>
      <c r="B878" s="20"/>
      <c r="C878" s="20"/>
      <c r="D878" s="20"/>
      <c r="E878" s="30"/>
      <c r="F878" s="3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5">
      <c r="A879" s="20"/>
      <c r="B879" s="20"/>
      <c r="C879" s="20"/>
      <c r="D879" s="20"/>
      <c r="E879" s="30"/>
      <c r="F879" s="3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5">
      <c r="A880" s="20"/>
      <c r="B880" s="20"/>
      <c r="C880" s="20"/>
      <c r="D880" s="20"/>
      <c r="E880" s="30"/>
      <c r="F880" s="3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5">
      <c r="A881" s="20"/>
      <c r="B881" s="20"/>
      <c r="C881" s="20"/>
      <c r="D881" s="20"/>
      <c r="E881" s="30"/>
      <c r="F881" s="3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5">
      <c r="A882" s="20"/>
      <c r="B882" s="20"/>
      <c r="C882" s="20"/>
      <c r="D882" s="20"/>
      <c r="E882" s="30"/>
      <c r="F882" s="3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5">
      <c r="A883" s="20"/>
      <c r="B883" s="20"/>
      <c r="C883" s="20"/>
      <c r="D883" s="20"/>
      <c r="E883" s="30"/>
      <c r="F883" s="3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5">
      <c r="A884" s="20"/>
      <c r="B884" s="20"/>
      <c r="C884" s="20"/>
      <c r="D884" s="20"/>
      <c r="E884" s="30"/>
      <c r="F884" s="3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5">
      <c r="A885" s="20"/>
      <c r="B885" s="20"/>
      <c r="C885" s="20"/>
      <c r="D885" s="20"/>
      <c r="E885" s="30"/>
      <c r="F885" s="3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5">
      <c r="A886" s="20"/>
      <c r="B886" s="20"/>
      <c r="C886" s="20"/>
      <c r="D886" s="20"/>
      <c r="E886" s="30"/>
      <c r="F886" s="3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5">
      <c r="A887" s="20"/>
      <c r="B887" s="20"/>
      <c r="C887" s="20"/>
      <c r="D887" s="20"/>
      <c r="E887" s="30"/>
      <c r="F887" s="3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5">
      <c r="A888" s="20"/>
      <c r="B888" s="20"/>
      <c r="C888" s="20"/>
      <c r="D888" s="20"/>
      <c r="E888" s="30"/>
      <c r="F888" s="3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5">
      <c r="A889" s="20"/>
      <c r="B889" s="20"/>
      <c r="C889" s="20"/>
      <c r="D889" s="20"/>
      <c r="E889" s="30"/>
      <c r="F889" s="3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5">
      <c r="A890" s="20"/>
      <c r="B890" s="20"/>
      <c r="C890" s="20"/>
      <c r="D890" s="20"/>
      <c r="E890" s="30"/>
      <c r="F890" s="3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5">
      <c r="A891" s="20"/>
      <c r="B891" s="20"/>
      <c r="C891" s="20"/>
      <c r="D891" s="20"/>
      <c r="E891" s="30"/>
      <c r="F891" s="3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5">
      <c r="A892" s="20"/>
      <c r="B892" s="20"/>
      <c r="C892" s="20"/>
      <c r="D892" s="20"/>
      <c r="E892" s="30"/>
      <c r="F892" s="3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5">
      <c r="A893" s="20"/>
      <c r="B893" s="20"/>
      <c r="C893" s="20"/>
      <c r="D893" s="20"/>
      <c r="E893" s="30"/>
      <c r="F893" s="3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5">
      <c r="A894" s="20"/>
      <c r="B894" s="20"/>
      <c r="C894" s="20"/>
      <c r="D894" s="20"/>
      <c r="E894" s="30"/>
      <c r="F894" s="3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5">
      <c r="A895" s="20"/>
      <c r="B895" s="20"/>
      <c r="C895" s="20"/>
      <c r="D895" s="20"/>
      <c r="E895" s="30"/>
      <c r="F895" s="3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5">
      <c r="A896" s="20"/>
      <c r="B896" s="20"/>
      <c r="C896" s="20"/>
      <c r="D896" s="20"/>
      <c r="E896" s="30"/>
      <c r="F896" s="3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5">
      <c r="A897" s="20"/>
      <c r="B897" s="20"/>
      <c r="C897" s="20"/>
      <c r="D897" s="20"/>
      <c r="E897" s="30"/>
      <c r="F897" s="3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5">
      <c r="A898" s="20"/>
      <c r="B898" s="20"/>
      <c r="C898" s="20"/>
      <c r="D898" s="20"/>
      <c r="E898" s="30"/>
      <c r="F898" s="3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5">
      <c r="A899" s="20"/>
      <c r="B899" s="20"/>
      <c r="C899" s="20"/>
      <c r="D899" s="20"/>
      <c r="E899" s="30"/>
      <c r="F899" s="3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5">
      <c r="A900" s="20"/>
      <c r="B900" s="20"/>
      <c r="C900" s="20"/>
      <c r="D900" s="20"/>
      <c r="E900" s="30"/>
      <c r="F900" s="3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5">
      <c r="A901" s="20"/>
      <c r="B901" s="20"/>
      <c r="C901" s="20"/>
      <c r="D901" s="20"/>
      <c r="E901" s="30"/>
      <c r="F901" s="3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5">
      <c r="A902" s="20"/>
      <c r="B902" s="20"/>
      <c r="C902" s="20"/>
      <c r="D902" s="20"/>
      <c r="E902" s="30"/>
      <c r="F902" s="3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5">
      <c r="A903" s="20"/>
      <c r="B903" s="20"/>
      <c r="C903" s="20"/>
      <c r="D903" s="20"/>
      <c r="E903" s="30"/>
      <c r="F903" s="3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5">
      <c r="A904" s="20"/>
      <c r="B904" s="20"/>
      <c r="C904" s="20"/>
      <c r="D904" s="20"/>
      <c r="E904" s="30"/>
      <c r="F904" s="3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5">
      <c r="A905" s="20"/>
      <c r="B905" s="20"/>
      <c r="C905" s="20"/>
      <c r="D905" s="20"/>
      <c r="E905" s="30"/>
      <c r="F905" s="3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5">
      <c r="A906" s="20"/>
      <c r="B906" s="20"/>
      <c r="C906" s="20"/>
      <c r="D906" s="20"/>
      <c r="E906" s="30"/>
      <c r="F906" s="3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5">
      <c r="A907" s="20"/>
      <c r="B907" s="20"/>
      <c r="C907" s="20"/>
      <c r="D907" s="20"/>
      <c r="E907" s="30"/>
      <c r="F907" s="3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5">
      <c r="A908" s="20"/>
      <c r="B908" s="20"/>
      <c r="C908" s="20"/>
      <c r="D908" s="20"/>
      <c r="E908" s="30"/>
      <c r="F908" s="3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5">
      <c r="A909" s="20"/>
      <c r="B909" s="20"/>
      <c r="C909" s="20"/>
      <c r="D909" s="20"/>
      <c r="E909" s="30"/>
      <c r="F909" s="3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5">
      <c r="A910" s="20"/>
      <c r="B910" s="20"/>
      <c r="C910" s="20"/>
      <c r="D910" s="20"/>
      <c r="E910" s="30"/>
      <c r="F910" s="3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5">
      <c r="A911" s="20"/>
      <c r="B911" s="20"/>
      <c r="C911" s="20"/>
      <c r="D911" s="20"/>
      <c r="E911" s="30"/>
      <c r="F911" s="3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5">
      <c r="A912" s="20"/>
      <c r="B912" s="20"/>
      <c r="C912" s="20"/>
      <c r="D912" s="20"/>
      <c r="E912" s="30"/>
      <c r="F912" s="3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5">
      <c r="A913" s="20"/>
      <c r="B913" s="20"/>
      <c r="C913" s="20"/>
      <c r="D913" s="20"/>
      <c r="E913" s="30"/>
      <c r="F913" s="3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5">
      <c r="A914" s="20"/>
      <c r="B914" s="20"/>
      <c r="C914" s="20"/>
      <c r="D914" s="20"/>
      <c r="E914" s="30"/>
      <c r="F914" s="3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5">
      <c r="A915" s="20"/>
      <c r="B915" s="20"/>
      <c r="C915" s="20"/>
      <c r="D915" s="20"/>
      <c r="E915" s="30"/>
      <c r="F915" s="3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5">
      <c r="A916" s="20"/>
      <c r="B916" s="20"/>
      <c r="C916" s="20"/>
      <c r="D916" s="20"/>
      <c r="E916" s="30"/>
      <c r="F916" s="3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5">
      <c r="A917" s="20"/>
      <c r="B917" s="20"/>
      <c r="C917" s="20"/>
      <c r="D917" s="20"/>
      <c r="E917" s="30"/>
      <c r="F917" s="3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5">
      <c r="A918" s="20"/>
      <c r="B918" s="20"/>
      <c r="C918" s="20"/>
      <c r="D918" s="20"/>
      <c r="E918" s="30"/>
      <c r="F918" s="3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5">
      <c r="A919" s="20"/>
      <c r="B919" s="20"/>
      <c r="C919" s="20"/>
      <c r="D919" s="20"/>
      <c r="E919" s="30"/>
      <c r="F919" s="3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5">
      <c r="A920" s="20"/>
      <c r="B920" s="20"/>
      <c r="C920" s="20"/>
      <c r="D920" s="20"/>
      <c r="E920" s="30"/>
      <c r="F920" s="3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5">
      <c r="A921" s="20"/>
      <c r="B921" s="20"/>
      <c r="C921" s="20"/>
      <c r="D921" s="20"/>
      <c r="E921" s="30"/>
      <c r="F921" s="3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5">
      <c r="A922" s="20"/>
      <c r="B922" s="20"/>
      <c r="C922" s="20"/>
      <c r="D922" s="20"/>
      <c r="E922" s="30"/>
      <c r="F922" s="3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5">
      <c r="A923" s="20"/>
      <c r="B923" s="20"/>
      <c r="C923" s="20"/>
      <c r="D923" s="20"/>
      <c r="E923" s="30"/>
      <c r="F923" s="3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5">
      <c r="A924" s="20"/>
      <c r="B924" s="20"/>
      <c r="C924" s="20"/>
      <c r="D924" s="20"/>
      <c r="E924" s="30"/>
      <c r="F924" s="3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5">
      <c r="A925" s="20"/>
      <c r="B925" s="20"/>
      <c r="C925" s="20"/>
      <c r="D925" s="20"/>
      <c r="E925" s="30"/>
      <c r="F925" s="3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5">
      <c r="A926" s="20"/>
      <c r="B926" s="20"/>
      <c r="C926" s="20"/>
      <c r="D926" s="20"/>
      <c r="E926" s="30"/>
      <c r="F926" s="3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5">
      <c r="A927" s="20"/>
      <c r="B927" s="20"/>
      <c r="C927" s="20"/>
      <c r="D927" s="20"/>
      <c r="E927" s="30"/>
      <c r="F927" s="3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5">
      <c r="A928" s="20"/>
      <c r="B928" s="20"/>
      <c r="C928" s="20"/>
      <c r="D928" s="20"/>
      <c r="E928" s="30"/>
      <c r="F928" s="3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5">
      <c r="A929" s="20"/>
      <c r="B929" s="20"/>
      <c r="C929" s="20"/>
      <c r="D929" s="20"/>
      <c r="E929" s="30"/>
      <c r="F929" s="3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5">
      <c r="A930" s="20"/>
      <c r="B930" s="20"/>
      <c r="C930" s="20"/>
      <c r="D930" s="20"/>
      <c r="E930" s="30"/>
      <c r="F930" s="3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5">
      <c r="A931" s="20"/>
      <c r="B931" s="20"/>
      <c r="C931" s="20"/>
      <c r="D931" s="20"/>
      <c r="E931" s="30"/>
      <c r="F931" s="3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5">
      <c r="A932" s="20"/>
      <c r="B932" s="20"/>
      <c r="C932" s="20"/>
      <c r="D932" s="20"/>
      <c r="E932" s="30"/>
      <c r="F932" s="3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5">
      <c r="A933" s="20"/>
      <c r="B933" s="20"/>
      <c r="C933" s="20"/>
      <c r="D933" s="20"/>
      <c r="E933" s="30"/>
      <c r="F933" s="3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5">
      <c r="A934" s="20"/>
      <c r="B934" s="20"/>
      <c r="C934" s="20"/>
      <c r="D934" s="20"/>
      <c r="E934" s="30"/>
      <c r="F934" s="3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5">
      <c r="A935" s="20"/>
      <c r="B935" s="20"/>
      <c r="C935" s="20"/>
      <c r="D935" s="20"/>
      <c r="E935" s="30"/>
      <c r="F935" s="3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5">
      <c r="A936" s="20"/>
      <c r="B936" s="20"/>
      <c r="C936" s="20"/>
      <c r="D936" s="20"/>
      <c r="E936" s="30"/>
      <c r="F936" s="3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5">
      <c r="A937" s="20"/>
      <c r="B937" s="20"/>
      <c r="C937" s="20"/>
      <c r="D937" s="20"/>
      <c r="E937" s="30"/>
      <c r="F937" s="3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5">
      <c r="A938" s="20"/>
      <c r="B938" s="20"/>
      <c r="C938" s="20"/>
      <c r="D938" s="20"/>
      <c r="E938" s="30"/>
      <c r="F938" s="3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5">
      <c r="A939" s="20"/>
      <c r="B939" s="20"/>
      <c r="C939" s="20"/>
      <c r="D939" s="20"/>
      <c r="E939" s="30"/>
      <c r="F939" s="3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5">
      <c r="A940" s="20"/>
      <c r="B940" s="20"/>
      <c r="C940" s="20"/>
      <c r="D940" s="20"/>
      <c r="E940" s="30"/>
      <c r="F940" s="3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5">
      <c r="A941" s="20"/>
      <c r="B941" s="20"/>
      <c r="C941" s="20"/>
      <c r="D941" s="20"/>
      <c r="E941" s="30"/>
      <c r="F941" s="3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5">
      <c r="A942" s="20"/>
      <c r="B942" s="20"/>
      <c r="C942" s="20"/>
      <c r="D942" s="20"/>
      <c r="E942" s="30"/>
      <c r="F942" s="3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5">
      <c r="A943" s="20"/>
      <c r="B943" s="20"/>
      <c r="C943" s="20"/>
      <c r="D943" s="20"/>
      <c r="E943" s="30"/>
      <c r="F943" s="3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5">
      <c r="A944" s="20"/>
      <c r="B944" s="20"/>
      <c r="C944" s="20"/>
      <c r="D944" s="20"/>
      <c r="E944" s="30"/>
      <c r="F944" s="3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5">
      <c r="A945" s="20"/>
      <c r="B945" s="20"/>
      <c r="C945" s="20"/>
      <c r="D945" s="20"/>
      <c r="E945" s="30"/>
      <c r="F945" s="3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5">
      <c r="A946" s="20"/>
      <c r="B946" s="20"/>
      <c r="C946" s="20"/>
      <c r="D946" s="20"/>
      <c r="E946" s="30"/>
      <c r="F946" s="3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5">
      <c r="A947" s="20"/>
      <c r="B947" s="20"/>
      <c r="C947" s="20"/>
      <c r="D947" s="20"/>
      <c r="E947" s="30"/>
      <c r="F947" s="3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5">
      <c r="A948" s="20"/>
      <c r="B948" s="20"/>
      <c r="C948" s="20"/>
      <c r="D948" s="20"/>
      <c r="E948" s="30"/>
      <c r="F948" s="3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5">
      <c r="A949" s="20"/>
      <c r="B949" s="20"/>
      <c r="C949" s="20"/>
      <c r="D949" s="20"/>
      <c r="E949" s="30"/>
      <c r="F949" s="3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5">
      <c r="A950" s="20"/>
      <c r="B950" s="20"/>
      <c r="C950" s="20"/>
      <c r="D950" s="20"/>
      <c r="E950" s="30"/>
      <c r="F950" s="3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5">
      <c r="A951" s="20"/>
      <c r="B951" s="20"/>
      <c r="C951" s="20"/>
      <c r="D951" s="20"/>
      <c r="E951" s="30"/>
      <c r="F951" s="3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5">
      <c r="A952" s="20"/>
      <c r="B952" s="20"/>
      <c r="C952" s="20"/>
      <c r="D952" s="20"/>
      <c r="E952" s="30"/>
      <c r="F952" s="3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5">
      <c r="A953" s="20"/>
      <c r="B953" s="20"/>
      <c r="C953" s="20"/>
      <c r="D953" s="20"/>
      <c r="E953" s="30"/>
      <c r="F953" s="3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5">
      <c r="A954" s="20"/>
      <c r="B954" s="20"/>
      <c r="C954" s="20"/>
      <c r="D954" s="20"/>
      <c r="E954" s="30"/>
      <c r="F954" s="3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5">
      <c r="A955" s="20"/>
      <c r="B955" s="20"/>
      <c r="C955" s="20"/>
      <c r="D955" s="20"/>
      <c r="E955" s="30"/>
      <c r="F955" s="3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5">
      <c r="A956" s="20"/>
      <c r="B956" s="20"/>
      <c r="C956" s="20"/>
      <c r="D956" s="20"/>
      <c r="E956" s="30"/>
      <c r="F956" s="3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5">
      <c r="A957" s="20"/>
      <c r="B957" s="20"/>
      <c r="C957" s="20"/>
      <c r="D957" s="20"/>
      <c r="E957" s="30"/>
      <c r="F957" s="3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5">
      <c r="A958" s="20"/>
      <c r="B958" s="20"/>
      <c r="C958" s="20"/>
      <c r="D958" s="20"/>
      <c r="E958" s="30"/>
      <c r="F958" s="3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5">
      <c r="A959" s="20"/>
      <c r="B959" s="20"/>
      <c r="C959" s="20"/>
      <c r="D959" s="20"/>
      <c r="E959" s="30"/>
      <c r="F959" s="3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5">
      <c r="A960" s="20"/>
      <c r="B960" s="20"/>
      <c r="C960" s="20"/>
      <c r="D960" s="20"/>
      <c r="E960" s="30"/>
      <c r="F960" s="3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5">
      <c r="A961" s="20"/>
      <c r="B961" s="20"/>
      <c r="C961" s="20"/>
      <c r="D961" s="20"/>
      <c r="E961" s="30"/>
      <c r="F961" s="3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5">
      <c r="A962" s="20"/>
      <c r="B962" s="20"/>
      <c r="C962" s="20"/>
      <c r="D962" s="20"/>
      <c r="E962" s="30"/>
      <c r="F962" s="3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5">
      <c r="A963" s="20"/>
      <c r="B963" s="20"/>
      <c r="C963" s="20"/>
      <c r="D963" s="20"/>
      <c r="E963" s="30"/>
      <c r="F963" s="3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5">
      <c r="A964" s="20"/>
      <c r="B964" s="20"/>
      <c r="C964" s="20"/>
      <c r="D964" s="20"/>
      <c r="E964" s="30"/>
      <c r="F964" s="3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5">
      <c r="A965" s="20"/>
      <c r="B965" s="20"/>
      <c r="C965" s="20"/>
      <c r="D965" s="20"/>
      <c r="E965" s="30"/>
      <c r="F965" s="3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5">
      <c r="A966" s="20"/>
      <c r="B966" s="20"/>
      <c r="C966" s="20"/>
      <c r="D966" s="20"/>
      <c r="E966" s="30"/>
      <c r="F966" s="3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5">
      <c r="A967" s="20"/>
      <c r="B967" s="20"/>
      <c r="C967" s="20"/>
      <c r="D967" s="20"/>
      <c r="E967" s="30"/>
      <c r="F967" s="3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5">
      <c r="A968" s="20"/>
      <c r="B968" s="20"/>
      <c r="C968" s="20"/>
      <c r="D968" s="20"/>
      <c r="E968" s="30"/>
      <c r="F968" s="3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5">
      <c r="A969" s="20"/>
      <c r="B969" s="20"/>
      <c r="C969" s="20"/>
      <c r="D969" s="20"/>
      <c r="E969" s="30"/>
      <c r="F969" s="3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5">
      <c r="A970" s="20"/>
      <c r="B970" s="20"/>
      <c r="C970" s="20"/>
      <c r="D970" s="20"/>
      <c r="E970" s="30"/>
      <c r="F970" s="3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5">
      <c r="A971" s="20"/>
      <c r="B971" s="20"/>
      <c r="C971" s="20"/>
      <c r="D971" s="20"/>
      <c r="E971" s="30"/>
      <c r="F971" s="3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5">
      <c r="A972" s="20"/>
      <c r="B972" s="20"/>
      <c r="C972" s="20"/>
      <c r="D972" s="20"/>
      <c r="E972" s="30"/>
      <c r="F972" s="3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5">
      <c r="A973" s="20"/>
      <c r="B973" s="20"/>
      <c r="C973" s="20"/>
      <c r="D973" s="20"/>
      <c r="E973" s="30"/>
      <c r="F973" s="3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5">
      <c r="A974" s="20"/>
      <c r="B974" s="20"/>
      <c r="C974" s="20"/>
      <c r="D974" s="20"/>
      <c r="E974" s="30"/>
      <c r="F974" s="3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5">
      <c r="A975" s="20"/>
      <c r="B975" s="20"/>
      <c r="C975" s="20"/>
      <c r="D975" s="20"/>
      <c r="E975" s="30"/>
      <c r="F975" s="3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5">
      <c r="A976" s="20"/>
      <c r="B976" s="20"/>
      <c r="C976" s="20"/>
      <c r="D976" s="20"/>
      <c r="E976" s="30"/>
      <c r="F976" s="3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5">
      <c r="A977" s="20"/>
      <c r="B977" s="20"/>
      <c r="C977" s="20"/>
      <c r="D977" s="20"/>
      <c r="E977" s="30"/>
      <c r="F977" s="3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5">
      <c r="A978" s="20"/>
      <c r="B978" s="20"/>
      <c r="C978" s="20"/>
      <c r="D978" s="20"/>
      <c r="E978" s="30"/>
      <c r="F978" s="3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5">
      <c r="A979" s="20"/>
      <c r="B979" s="20"/>
      <c r="C979" s="20"/>
      <c r="D979" s="20"/>
      <c r="E979" s="30"/>
      <c r="F979" s="3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5">
      <c r="A980" s="20"/>
      <c r="B980" s="20"/>
      <c r="C980" s="20"/>
      <c r="D980" s="20"/>
      <c r="E980" s="30"/>
      <c r="F980" s="3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5">
      <c r="A981" s="20"/>
      <c r="B981" s="20"/>
      <c r="C981" s="20"/>
      <c r="D981" s="20"/>
      <c r="E981" s="30"/>
      <c r="F981" s="3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5">
      <c r="A982" s="20"/>
      <c r="B982" s="20"/>
      <c r="C982" s="20"/>
      <c r="D982" s="20"/>
      <c r="E982" s="30"/>
      <c r="F982" s="3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5">
      <c r="A983" s="20"/>
      <c r="B983" s="20"/>
      <c r="C983" s="20"/>
      <c r="D983" s="20"/>
      <c r="E983" s="30"/>
      <c r="F983" s="3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5">
      <c r="A984" s="20"/>
      <c r="B984" s="20"/>
      <c r="C984" s="20"/>
      <c r="D984" s="20"/>
      <c r="E984" s="30"/>
      <c r="F984" s="3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5">
      <c r="A985" s="20"/>
      <c r="B985" s="20"/>
      <c r="C985" s="20"/>
      <c r="D985" s="20"/>
      <c r="E985" s="30"/>
      <c r="F985" s="3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5">
      <c r="A986" s="20"/>
      <c r="B986" s="20"/>
      <c r="C986" s="20"/>
      <c r="D986" s="20"/>
      <c r="E986" s="30"/>
      <c r="F986" s="3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5">
      <c r="A987" s="20"/>
      <c r="B987" s="20"/>
      <c r="C987" s="20"/>
      <c r="D987" s="20"/>
      <c r="E987" s="30"/>
      <c r="F987" s="3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5">
      <c r="A988" s="20"/>
      <c r="B988" s="20"/>
      <c r="C988" s="20"/>
      <c r="D988" s="20"/>
      <c r="E988" s="30"/>
      <c r="F988" s="3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5">
      <c r="A989" s="20"/>
      <c r="B989" s="20"/>
      <c r="C989" s="20"/>
      <c r="D989" s="20"/>
      <c r="E989" s="30"/>
      <c r="F989" s="3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5">
      <c r="A990" s="20"/>
      <c r="B990" s="20"/>
      <c r="C990" s="20"/>
      <c r="D990" s="20"/>
      <c r="E990" s="30"/>
      <c r="F990" s="3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5">
      <c r="A991" s="20"/>
      <c r="B991" s="20"/>
      <c r="C991" s="20"/>
      <c r="D991" s="20"/>
      <c r="E991" s="30"/>
      <c r="F991" s="3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5">
      <c r="A992" s="20"/>
      <c r="B992" s="20"/>
      <c r="C992" s="20"/>
      <c r="D992" s="20"/>
      <c r="E992" s="30"/>
      <c r="F992" s="3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5">
      <c r="A993" s="20"/>
      <c r="B993" s="20"/>
      <c r="C993" s="20"/>
      <c r="D993" s="20"/>
      <c r="E993" s="30"/>
      <c r="F993" s="3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5">
      <c r="A994" s="20"/>
      <c r="B994" s="20"/>
      <c r="C994" s="20"/>
      <c r="D994" s="20"/>
      <c r="E994" s="30"/>
      <c r="F994" s="3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5">
      <c r="A995" s="20"/>
      <c r="B995" s="20"/>
      <c r="C995" s="20"/>
      <c r="D995" s="20"/>
      <c r="E995" s="30"/>
      <c r="F995" s="3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5">
      <c r="A996" s="20"/>
      <c r="B996" s="20"/>
      <c r="C996" s="20"/>
      <c r="D996" s="20"/>
      <c r="E996" s="30"/>
      <c r="F996" s="3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5">
      <c r="A997" s="20"/>
      <c r="B997" s="20"/>
      <c r="C997" s="20"/>
      <c r="D997" s="20"/>
      <c r="E997" s="30"/>
      <c r="F997" s="3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5">
      <c r="A998" s="20"/>
      <c r="B998" s="20"/>
      <c r="C998" s="20"/>
      <c r="D998" s="20"/>
      <c r="E998" s="30"/>
      <c r="F998" s="3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5">
      <c r="A999" s="20"/>
      <c r="B999" s="20"/>
      <c r="C999" s="20"/>
      <c r="D999" s="20"/>
      <c r="E999" s="30"/>
      <c r="F999" s="3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5">
      <c r="A1000" s="20"/>
      <c r="B1000" s="20"/>
      <c r="C1000" s="20"/>
      <c r="D1000" s="20"/>
      <c r="E1000" s="30"/>
      <c r="F1000" s="3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2.75" customHeight="1" x14ac:dyDescent="0.25">
      <c r="A1001" s="20"/>
      <c r="B1001" s="20"/>
      <c r="C1001" s="20"/>
      <c r="D1001" s="20"/>
      <c r="E1001" s="30"/>
      <c r="F1001" s="3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2.75" customHeight="1" x14ac:dyDescent="0.25">
      <c r="A1002" s="20"/>
      <c r="B1002" s="20"/>
      <c r="C1002" s="20"/>
      <c r="D1002" s="20"/>
      <c r="E1002" s="30"/>
      <c r="F1002" s="3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2.75" customHeight="1" x14ac:dyDescent="0.25">
      <c r="A1003" s="20"/>
      <c r="B1003" s="20"/>
      <c r="C1003" s="20"/>
      <c r="D1003" s="20"/>
      <c r="E1003" s="30"/>
      <c r="F1003" s="3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2.75" customHeight="1" x14ac:dyDescent="0.25">
      <c r="A1004" s="20"/>
      <c r="B1004" s="20"/>
      <c r="C1004" s="20"/>
      <c r="D1004" s="20"/>
      <c r="E1004" s="30"/>
      <c r="F1004" s="3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2.75" customHeight="1" x14ac:dyDescent="0.25">
      <c r="A1005" s="20"/>
      <c r="B1005" s="20"/>
      <c r="C1005" s="20"/>
      <c r="D1005" s="20"/>
      <c r="E1005" s="30"/>
      <c r="F1005" s="3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2.75" customHeight="1" x14ac:dyDescent="0.25">
      <c r="A1006" s="20"/>
      <c r="B1006" s="20"/>
      <c r="C1006" s="20"/>
      <c r="D1006" s="20"/>
      <c r="E1006" s="30"/>
      <c r="F1006" s="3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2.75" customHeight="1" x14ac:dyDescent="0.25">
      <c r="A1007" s="20"/>
      <c r="B1007" s="20"/>
      <c r="C1007" s="20"/>
      <c r="D1007" s="20"/>
      <c r="E1007" s="30"/>
      <c r="F1007" s="3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2.75" customHeight="1" x14ac:dyDescent="0.25">
      <c r="A1008" s="20"/>
      <c r="B1008" s="20"/>
      <c r="C1008" s="20"/>
      <c r="D1008" s="20"/>
      <c r="E1008" s="30"/>
      <c r="F1008" s="3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2.75" customHeight="1" x14ac:dyDescent="0.25">
      <c r="A1009" s="20"/>
      <c r="B1009" s="20"/>
      <c r="C1009" s="20"/>
      <c r="D1009" s="20"/>
      <c r="E1009" s="30"/>
      <c r="F1009" s="3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2.75" customHeight="1" x14ac:dyDescent="0.25">
      <c r="A1010" s="20"/>
      <c r="B1010" s="20"/>
      <c r="C1010" s="20"/>
      <c r="D1010" s="20"/>
      <c r="E1010" s="30"/>
      <c r="F1010" s="3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2.75" customHeight="1" x14ac:dyDescent="0.25">
      <c r="A1011" s="20"/>
      <c r="B1011" s="20"/>
      <c r="C1011" s="20"/>
      <c r="D1011" s="20"/>
      <c r="E1011" s="30"/>
      <c r="F1011" s="3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2.75" customHeight="1" x14ac:dyDescent="0.25">
      <c r="A1012" s="20"/>
      <c r="B1012" s="20"/>
      <c r="C1012" s="20"/>
      <c r="D1012" s="20"/>
      <c r="E1012" s="30"/>
      <c r="F1012" s="3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spans="1:26" ht="12.75" customHeight="1" x14ac:dyDescent="0.25">
      <c r="A1013" s="20"/>
      <c r="B1013" s="20"/>
      <c r="C1013" s="20"/>
      <c r="D1013" s="20"/>
      <c r="E1013" s="30"/>
      <c r="F1013" s="3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2.75" customHeight="1" x14ac:dyDescent="0.25">
      <c r="A1014" s="20"/>
      <c r="B1014" s="20"/>
      <c r="C1014" s="20"/>
      <c r="D1014" s="20"/>
      <c r="E1014" s="30"/>
      <c r="F1014" s="3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spans="1:26" ht="12.75" customHeight="1" x14ac:dyDescent="0.25">
      <c r="A1015" s="20"/>
      <c r="B1015" s="20"/>
      <c r="C1015" s="20"/>
      <c r="D1015" s="20"/>
      <c r="E1015" s="30"/>
      <c r="F1015" s="3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spans="1:26" ht="12.75" customHeight="1" x14ac:dyDescent="0.25">
      <c r="A1016" s="20"/>
      <c r="B1016" s="20"/>
      <c r="C1016" s="20"/>
      <c r="D1016" s="20"/>
      <c r="E1016" s="30"/>
      <c r="F1016" s="3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spans="1:26" ht="12.75" customHeight="1" x14ac:dyDescent="0.25">
      <c r="A1017" s="20"/>
      <c r="B1017" s="20"/>
      <c r="C1017" s="20"/>
      <c r="D1017" s="20"/>
      <c r="E1017" s="30"/>
      <c r="F1017" s="3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spans="1:26" ht="12.75" customHeight="1" x14ac:dyDescent="0.25">
      <c r="A1018" s="20"/>
      <c r="B1018" s="20"/>
      <c r="C1018" s="20"/>
      <c r="D1018" s="20"/>
      <c r="E1018" s="30"/>
      <c r="F1018" s="3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spans="1:26" ht="12.75" customHeight="1" x14ac:dyDescent="0.25">
      <c r="A1019" s="20"/>
      <c r="B1019" s="20"/>
      <c r="C1019" s="20"/>
      <c r="D1019" s="20"/>
      <c r="E1019" s="30"/>
      <c r="F1019" s="3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spans="1:26" ht="12.75" customHeight="1" x14ac:dyDescent="0.25">
      <c r="A1020" s="20"/>
      <c r="B1020" s="20"/>
      <c r="C1020" s="20"/>
      <c r="D1020" s="20"/>
      <c r="E1020" s="30"/>
      <c r="F1020" s="3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spans="1:26" ht="12.75" customHeight="1" x14ac:dyDescent="0.25">
      <c r="A1021" s="20"/>
      <c r="B1021" s="20"/>
      <c r="C1021" s="20"/>
      <c r="D1021" s="20"/>
      <c r="E1021" s="30"/>
      <c r="F1021" s="3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spans="1:26" ht="12.75" customHeight="1" x14ac:dyDescent="0.25">
      <c r="A1022" s="20"/>
      <c r="B1022" s="20"/>
      <c r="C1022" s="20"/>
      <c r="D1022" s="20"/>
      <c r="E1022" s="30"/>
      <c r="F1022" s="3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spans="1:26" ht="12.75" customHeight="1" x14ac:dyDescent="0.25">
      <c r="A1023" s="20"/>
      <c r="B1023" s="20"/>
      <c r="C1023" s="20"/>
      <c r="D1023" s="20"/>
      <c r="E1023" s="30"/>
      <c r="F1023" s="3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spans="1:26" ht="12.75" customHeight="1" x14ac:dyDescent="0.25">
      <c r="A1024" s="20"/>
      <c r="B1024" s="20"/>
      <c r="C1024" s="20"/>
      <c r="D1024" s="20"/>
      <c r="E1024" s="30"/>
      <c r="F1024" s="3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spans="1:26" ht="12.75" customHeight="1" x14ac:dyDescent="0.25">
      <c r="A1025" s="20"/>
      <c r="B1025" s="20"/>
      <c r="C1025" s="20"/>
      <c r="D1025" s="20"/>
      <c r="E1025" s="30"/>
      <c r="F1025" s="3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</sheetData>
  <mergeCells count="30">
    <mergeCell ref="J82:J83"/>
    <mergeCell ref="K82:K83"/>
    <mergeCell ref="L82:L83"/>
    <mergeCell ref="C82:C83"/>
    <mergeCell ref="D82:D83"/>
    <mergeCell ref="E82:E83"/>
    <mergeCell ref="F82:F83"/>
    <mergeCell ref="G82:G83"/>
    <mergeCell ref="H82:H83"/>
    <mergeCell ref="I82:I83"/>
    <mergeCell ref="J60:J61"/>
    <mergeCell ref="K60:K61"/>
    <mergeCell ref="L60:L61"/>
    <mergeCell ref="C60:C61"/>
    <mergeCell ref="D60:D61"/>
    <mergeCell ref="E60:E61"/>
    <mergeCell ref="F60:F61"/>
    <mergeCell ref="G60:G61"/>
    <mergeCell ref="H60:H61"/>
    <mergeCell ref="I60:I61"/>
    <mergeCell ref="J41:J42"/>
    <mergeCell ref="K41:K42"/>
    <mergeCell ref="L41:L42"/>
    <mergeCell ref="C41:C42"/>
    <mergeCell ref="D41:D42"/>
    <mergeCell ref="E41:E42"/>
    <mergeCell ref="F41:F42"/>
    <mergeCell ref="G41:G42"/>
    <mergeCell ref="H41:H42"/>
    <mergeCell ref="I41:I4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tabSelected="1" zoomScale="150" workbookViewId="0">
      <pane ySplit="1" topLeftCell="A20" activePane="bottomLeft" state="frozen"/>
      <selection pane="bottomLeft" activeCell="A26" sqref="A26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7.7109375" customWidth="1"/>
    <col min="5" max="5" width="11.7109375" customWidth="1"/>
    <col min="6" max="7" width="14.28515625" customWidth="1"/>
    <col min="8" max="8" width="18" customWidth="1"/>
    <col min="9" max="9" width="21.5703125" customWidth="1"/>
    <col min="10" max="22" width="9.14062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204</v>
      </c>
      <c r="E1" s="47" t="s">
        <v>1</v>
      </c>
      <c r="F1" s="47" t="s">
        <v>149</v>
      </c>
      <c r="G1" s="47" t="s">
        <v>205</v>
      </c>
      <c r="H1" s="47" t="s">
        <v>206</v>
      </c>
      <c r="I1" s="47" t="s">
        <v>591</v>
      </c>
      <c r="J1" s="48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</row>
    <row r="2" spans="1:22" ht="18.75" customHeight="1" x14ac:dyDescent="0.25">
      <c r="A2" s="52" t="s">
        <v>207</v>
      </c>
      <c r="B2" s="53" t="s">
        <v>37</v>
      </c>
      <c r="C2" s="54" t="s">
        <v>208</v>
      </c>
      <c r="D2" s="54" t="s">
        <v>209</v>
      </c>
      <c r="E2" s="53" t="s">
        <v>6</v>
      </c>
      <c r="F2" s="53" t="s">
        <v>37</v>
      </c>
      <c r="G2" s="53" t="s">
        <v>210</v>
      </c>
      <c r="H2" s="53" t="s">
        <v>211</v>
      </c>
      <c r="I2" s="53">
        <v>15</v>
      </c>
      <c r="J2" s="48"/>
      <c r="K2" s="49"/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</row>
    <row r="3" spans="1:22" ht="18.75" customHeight="1" x14ac:dyDescent="0.25">
      <c r="A3" s="55" t="s">
        <v>207</v>
      </c>
      <c r="B3" s="56" t="s">
        <v>37</v>
      </c>
      <c r="C3" s="57" t="s">
        <v>212</v>
      </c>
      <c r="D3" s="57"/>
      <c r="E3" s="56" t="s">
        <v>6</v>
      </c>
      <c r="F3" s="56" t="s">
        <v>37</v>
      </c>
      <c r="G3" s="56" t="s">
        <v>213</v>
      </c>
      <c r="H3" s="56" t="s">
        <v>213</v>
      </c>
      <c r="I3" s="56">
        <v>20</v>
      </c>
      <c r="J3" s="48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18.75" customHeight="1" x14ac:dyDescent="0.25">
      <c r="A4" s="55" t="s">
        <v>214</v>
      </c>
      <c r="B4" s="56" t="s">
        <v>31</v>
      </c>
      <c r="C4" s="57" t="s">
        <v>215</v>
      </c>
      <c r="D4" s="57"/>
      <c r="E4" s="56" t="s">
        <v>5</v>
      </c>
      <c r="F4" s="56" t="s">
        <v>67</v>
      </c>
      <c r="G4" s="56" t="s">
        <v>216</v>
      </c>
      <c r="H4" s="56" t="s">
        <v>217</v>
      </c>
      <c r="I4" s="56">
        <v>20</v>
      </c>
      <c r="J4" s="48"/>
      <c r="K4" s="49"/>
      <c r="L4" s="50"/>
      <c r="M4" s="50"/>
      <c r="N4" s="50"/>
      <c r="O4" s="50"/>
      <c r="P4" s="50"/>
      <c r="Q4" s="50"/>
      <c r="R4" s="50"/>
      <c r="S4" s="50"/>
      <c r="T4" s="50"/>
      <c r="U4" s="50"/>
      <c r="V4" s="51"/>
    </row>
    <row r="5" spans="1:22" ht="18.75" customHeight="1" x14ac:dyDescent="0.25">
      <c r="A5" s="55" t="s">
        <v>214</v>
      </c>
      <c r="B5" s="56" t="s">
        <v>31</v>
      </c>
      <c r="C5" s="57" t="s">
        <v>218</v>
      </c>
      <c r="D5" s="57"/>
      <c r="E5" s="56" t="s">
        <v>44</v>
      </c>
      <c r="F5" s="56" t="s">
        <v>219</v>
      </c>
      <c r="G5" s="56" t="s">
        <v>220</v>
      </c>
      <c r="H5" s="56" t="s">
        <v>221</v>
      </c>
      <c r="I5" s="56">
        <v>30</v>
      </c>
      <c r="J5" s="48"/>
      <c r="K5" s="49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</row>
    <row r="6" spans="1:22" ht="18.75" customHeight="1" x14ac:dyDescent="0.25">
      <c r="A6" s="55" t="s">
        <v>214</v>
      </c>
      <c r="B6" s="56" t="s">
        <v>37</v>
      </c>
      <c r="C6" s="57" t="s">
        <v>215</v>
      </c>
      <c r="D6" s="57"/>
      <c r="E6" s="56" t="s">
        <v>5</v>
      </c>
      <c r="F6" s="56" t="s">
        <v>67</v>
      </c>
      <c r="G6" s="56" t="s">
        <v>222</v>
      </c>
      <c r="H6" s="57"/>
      <c r="I6" s="56">
        <v>60</v>
      </c>
      <c r="J6" s="48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</row>
    <row r="7" spans="1:22" ht="18.75" customHeight="1" x14ac:dyDescent="0.25">
      <c r="A7" s="55" t="s">
        <v>223</v>
      </c>
      <c r="B7" s="56" t="s">
        <v>37</v>
      </c>
      <c r="C7" s="57" t="s">
        <v>224</v>
      </c>
      <c r="D7" s="57"/>
      <c r="E7" s="56" t="s">
        <v>5</v>
      </c>
      <c r="F7" s="56" t="s">
        <v>225</v>
      </c>
      <c r="G7" s="56" t="s">
        <v>220</v>
      </c>
      <c r="H7" s="56" t="s">
        <v>226</v>
      </c>
      <c r="I7" s="56">
        <v>40</v>
      </c>
      <c r="J7" s="48"/>
      <c r="K7" s="49"/>
      <c r="L7" s="50"/>
      <c r="M7" s="50"/>
      <c r="N7" s="50"/>
      <c r="O7" s="50"/>
      <c r="P7" s="50"/>
      <c r="Q7" s="50"/>
      <c r="R7" s="50"/>
      <c r="S7" s="50"/>
      <c r="T7" s="50"/>
      <c r="U7" s="50"/>
      <c r="V7" s="51"/>
    </row>
    <row r="8" spans="1:22" ht="18.75" customHeight="1" x14ac:dyDescent="0.25">
      <c r="A8" s="55" t="s">
        <v>223</v>
      </c>
      <c r="B8" s="56" t="s">
        <v>37</v>
      </c>
      <c r="C8" s="57" t="s">
        <v>227</v>
      </c>
      <c r="D8" s="57"/>
      <c r="E8" s="56" t="s">
        <v>5</v>
      </c>
      <c r="F8" s="56" t="s">
        <v>37</v>
      </c>
      <c r="G8" s="56" t="s">
        <v>228</v>
      </c>
      <c r="H8" s="56" t="s">
        <v>229</v>
      </c>
      <c r="I8" s="56">
        <v>20</v>
      </c>
      <c r="J8" s="48"/>
      <c r="K8" s="49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</row>
    <row r="9" spans="1:22" ht="18.75" customHeight="1" x14ac:dyDescent="0.25">
      <c r="A9" s="55" t="s">
        <v>230</v>
      </c>
      <c r="B9" s="56" t="s">
        <v>31</v>
      </c>
      <c r="C9" s="57" t="s">
        <v>231</v>
      </c>
      <c r="D9" s="57"/>
      <c r="E9" s="56" t="s">
        <v>44</v>
      </c>
      <c r="F9" s="56" t="s">
        <v>45</v>
      </c>
      <c r="G9" s="56" t="s">
        <v>232</v>
      </c>
      <c r="H9" s="56" t="s">
        <v>233</v>
      </c>
      <c r="I9" s="56">
        <v>100</v>
      </c>
      <c r="J9" s="48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</row>
    <row r="10" spans="1:22" ht="18.75" customHeight="1" x14ac:dyDescent="0.25">
      <c r="A10" s="55" t="s">
        <v>230</v>
      </c>
      <c r="B10" s="56" t="s">
        <v>37</v>
      </c>
      <c r="C10" s="57" t="s">
        <v>234</v>
      </c>
      <c r="D10" s="57"/>
      <c r="E10" s="56" t="s">
        <v>5</v>
      </c>
      <c r="F10" s="56" t="s">
        <v>37</v>
      </c>
      <c r="G10" s="56" t="s">
        <v>228</v>
      </c>
      <c r="H10" s="56" t="s">
        <v>229</v>
      </c>
      <c r="I10" s="56">
        <v>35</v>
      </c>
      <c r="J10" s="48"/>
      <c r="K10" s="49"/>
      <c r="L10" s="28"/>
      <c r="M10" s="50"/>
      <c r="N10" s="50"/>
      <c r="O10" s="50"/>
      <c r="P10" s="50"/>
      <c r="Q10" s="50"/>
      <c r="R10" s="50"/>
      <c r="S10" s="50"/>
      <c r="T10" s="50"/>
      <c r="U10" s="50"/>
      <c r="V10" s="51"/>
    </row>
    <row r="11" spans="1:22" ht="18.75" customHeight="1" x14ac:dyDescent="0.25">
      <c r="A11" s="55" t="s">
        <v>235</v>
      </c>
      <c r="B11" s="56" t="s">
        <v>31</v>
      </c>
      <c r="C11" s="57" t="s">
        <v>236</v>
      </c>
      <c r="D11" s="57"/>
      <c r="E11" s="56" t="s">
        <v>5</v>
      </c>
      <c r="F11" s="56" t="s">
        <v>67</v>
      </c>
      <c r="G11" s="56" t="s">
        <v>237</v>
      </c>
      <c r="H11" s="56" t="s">
        <v>238</v>
      </c>
      <c r="I11" s="56">
        <v>35</v>
      </c>
      <c r="J11" s="48"/>
      <c r="K11" s="4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</row>
    <row r="12" spans="1:22" ht="18.75" customHeight="1" x14ac:dyDescent="0.25">
      <c r="A12" s="55" t="s">
        <v>239</v>
      </c>
      <c r="B12" s="56" t="s">
        <v>37</v>
      </c>
      <c r="C12" s="57" t="s">
        <v>240</v>
      </c>
      <c r="D12" s="57"/>
      <c r="E12" s="56" t="s">
        <v>44</v>
      </c>
      <c r="F12" s="56" t="s">
        <v>67</v>
      </c>
      <c r="G12" s="56" t="s">
        <v>220</v>
      </c>
      <c r="H12" s="56" t="s">
        <v>241</v>
      </c>
      <c r="I12" s="56">
        <v>15</v>
      </c>
      <c r="J12" s="4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1"/>
    </row>
    <row r="13" spans="1:22" ht="18.75" customHeight="1" x14ac:dyDescent="0.25">
      <c r="A13" s="55" t="s">
        <v>242</v>
      </c>
      <c r="B13" s="56" t="s">
        <v>37</v>
      </c>
      <c r="C13" s="57" t="s">
        <v>243</v>
      </c>
      <c r="D13" s="57"/>
      <c r="E13" s="56" t="s">
        <v>33</v>
      </c>
      <c r="F13" s="56" t="s">
        <v>37</v>
      </c>
      <c r="G13" s="56" t="s">
        <v>213</v>
      </c>
      <c r="H13" s="56" t="s">
        <v>213</v>
      </c>
      <c r="I13" s="56">
        <v>25</v>
      </c>
      <c r="J13" s="4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/>
    </row>
    <row r="14" spans="1:22" ht="18.75" customHeight="1" x14ac:dyDescent="0.25">
      <c r="A14" s="55" t="s">
        <v>242</v>
      </c>
      <c r="B14" s="56" t="s">
        <v>37</v>
      </c>
      <c r="C14" s="57" t="s">
        <v>244</v>
      </c>
      <c r="D14" s="57"/>
      <c r="E14" s="56" t="s">
        <v>33</v>
      </c>
      <c r="F14" s="56" t="s">
        <v>225</v>
      </c>
      <c r="G14" s="56" t="s">
        <v>213</v>
      </c>
      <c r="H14" s="56" t="s">
        <v>213</v>
      </c>
      <c r="I14" s="56">
        <v>45</v>
      </c>
      <c r="J14" s="48"/>
      <c r="K14" s="4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/>
    </row>
    <row r="15" spans="1:22" ht="18.75" customHeight="1" x14ac:dyDescent="0.25">
      <c r="A15" s="55" t="s">
        <v>245</v>
      </c>
      <c r="B15" s="56" t="s">
        <v>37</v>
      </c>
      <c r="C15" s="57" t="s">
        <v>246</v>
      </c>
      <c r="D15" s="57"/>
      <c r="E15" s="56" t="s">
        <v>5</v>
      </c>
      <c r="F15" s="56" t="s">
        <v>37</v>
      </c>
      <c r="G15" s="56" t="s">
        <v>247</v>
      </c>
      <c r="H15" s="56" t="s">
        <v>248</v>
      </c>
      <c r="I15" s="56">
        <v>60</v>
      </c>
      <c r="J15" s="48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1"/>
    </row>
    <row r="16" spans="1:22" ht="18.75" customHeight="1" x14ac:dyDescent="0.25">
      <c r="A16" s="55" t="s">
        <v>249</v>
      </c>
      <c r="B16" s="56" t="s">
        <v>31</v>
      </c>
      <c r="C16" s="57" t="s">
        <v>250</v>
      </c>
      <c r="D16" s="57"/>
      <c r="E16" s="56" t="s">
        <v>44</v>
      </c>
      <c r="F16" s="56" t="s">
        <v>90</v>
      </c>
      <c r="G16" s="56" t="s">
        <v>220</v>
      </c>
      <c r="H16" s="56" t="s">
        <v>251</v>
      </c>
      <c r="I16" s="56">
        <v>60</v>
      </c>
      <c r="J16" s="48"/>
      <c r="K16" s="49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1"/>
    </row>
    <row r="17" spans="1:22" ht="18.75" customHeight="1" x14ac:dyDescent="0.25">
      <c r="A17" s="55" t="s">
        <v>249</v>
      </c>
      <c r="B17" s="56" t="s">
        <v>37</v>
      </c>
      <c r="C17" s="57" t="s">
        <v>250</v>
      </c>
      <c r="D17" s="57"/>
      <c r="E17" s="56" t="s">
        <v>44</v>
      </c>
      <c r="F17" s="56" t="s">
        <v>90</v>
      </c>
      <c r="G17" s="56" t="s">
        <v>220</v>
      </c>
      <c r="H17" s="56" t="s">
        <v>251</v>
      </c>
      <c r="I17" s="56">
        <v>40</v>
      </c>
      <c r="J17" s="48"/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1"/>
    </row>
    <row r="18" spans="1:22" ht="18.75" customHeight="1" x14ac:dyDescent="0.25">
      <c r="A18" s="55" t="s">
        <v>252</v>
      </c>
      <c r="B18" s="56" t="s">
        <v>37</v>
      </c>
      <c r="C18" s="57" t="s">
        <v>253</v>
      </c>
      <c r="D18" s="57"/>
      <c r="E18" s="56" t="s">
        <v>254</v>
      </c>
      <c r="F18" s="58" t="s">
        <v>254</v>
      </c>
      <c r="G18" s="58" t="s">
        <v>255</v>
      </c>
      <c r="H18" s="58" t="s">
        <v>255</v>
      </c>
      <c r="I18" s="56">
        <v>20</v>
      </c>
      <c r="J18" s="48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/>
    </row>
    <row r="19" spans="1:22" ht="18.75" customHeight="1" x14ac:dyDescent="0.25">
      <c r="A19" s="55" t="s">
        <v>256</v>
      </c>
      <c r="B19" s="56" t="s">
        <v>31</v>
      </c>
      <c r="C19" s="57" t="s">
        <v>257</v>
      </c>
      <c r="D19" s="57"/>
      <c r="E19" s="56" t="s">
        <v>5</v>
      </c>
      <c r="F19" s="58" t="s">
        <v>55</v>
      </c>
      <c r="G19" s="58" t="s">
        <v>258</v>
      </c>
      <c r="H19" s="58" t="s">
        <v>259</v>
      </c>
      <c r="I19" s="56">
        <v>60</v>
      </c>
      <c r="J19" s="48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/>
    </row>
    <row r="20" spans="1:22" ht="18.75" customHeight="1" x14ac:dyDescent="0.25">
      <c r="A20" s="55" t="s">
        <v>256</v>
      </c>
      <c r="B20" s="56" t="s">
        <v>37</v>
      </c>
      <c r="C20" s="57" t="s">
        <v>257</v>
      </c>
      <c r="D20" s="57"/>
      <c r="E20" s="56" t="s">
        <v>5</v>
      </c>
      <c r="F20" s="56" t="s">
        <v>55</v>
      </c>
      <c r="G20" s="56" t="s">
        <v>258</v>
      </c>
      <c r="H20" s="56" t="s">
        <v>259</v>
      </c>
      <c r="I20" s="56">
        <v>40</v>
      </c>
      <c r="J20" s="48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1"/>
    </row>
    <row r="21" spans="1:22" ht="18.75" customHeight="1" x14ac:dyDescent="0.25">
      <c r="A21" s="59" t="s">
        <v>260</v>
      </c>
      <c r="B21" s="56" t="s">
        <v>37</v>
      </c>
      <c r="C21" s="57" t="s">
        <v>261</v>
      </c>
      <c r="D21" s="57"/>
      <c r="E21" s="56" t="s">
        <v>5</v>
      </c>
      <c r="F21" s="56" t="s">
        <v>37</v>
      </c>
      <c r="G21" s="56" t="s">
        <v>262</v>
      </c>
      <c r="H21" s="56" t="s">
        <v>263</v>
      </c>
      <c r="I21" s="56">
        <v>30</v>
      </c>
      <c r="J21" s="48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1"/>
    </row>
    <row r="22" spans="1:22" ht="18.75" customHeight="1" x14ac:dyDescent="0.25">
      <c r="A22" s="59" t="s">
        <v>264</v>
      </c>
      <c r="B22" s="56" t="s">
        <v>31</v>
      </c>
      <c r="C22" s="57" t="s">
        <v>265</v>
      </c>
      <c r="D22" s="57"/>
      <c r="E22" s="56" t="s">
        <v>6</v>
      </c>
      <c r="F22" s="56" t="s">
        <v>90</v>
      </c>
      <c r="G22" s="56" t="s">
        <v>76</v>
      </c>
      <c r="H22" s="56" t="s">
        <v>76</v>
      </c>
      <c r="I22" s="56">
        <v>120</v>
      </c>
      <c r="J22" s="48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1"/>
    </row>
    <row r="23" spans="1:22" ht="18.75" customHeight="1" x14ac:dyDescent="0.25">
      <c r="A23" s="59" t="s">
        <v>266</v>
      </c>
      <c r="B23" s="56" t="s">
        <v>37</v>
      </c>
      <c r="C23" s="57" t="s">
        <v>267</v>
      </c>
      <c r="D23" s="57"/>
      <c r="E23" s="56" t="s">
        <v>5</v>
      </c>
      <c r="F23" s="56" t="s">
        <v>37</v>
      </c>
      <c r="G23" s="56" t="s">
        <v>213</v>
      </c>
      <c r="H23" s="56" t="s">
        <v>213</v>
      </c>
      <c r="I23" s="56">
        <v>20</v>
      </c>
      <c r="J23" s="48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/>
    </row>
    <row r="24" spans="1:22" ht="18.75" customHeight="1" x14ac:dyDescent="0.25">
      <c r="A24" s="59" t="s">
        <v>592</v>
      </c>
      <c r="B24" s="56" t="s">
        <v>37</v>
      </c>
      <c r="C24" s="57" t="s">
        <v>268</v>
      </c>
      <c r="D24" s="57"/>
      <c r="E24" s="56" t="s">
        <v>44</v>
      </c>
      <c r="F24" s="56" t="s">
        <v>37</v>
      </c>
      <c r="G24" s="56" t="s">
        <v>220</v>
      </c>
      <c r="H24" s="56" t="s">
        <v>269</v>
      </c>
      <c r="I24" s="56">
        <v>20</v>
      </c>
      <c r="J24" s="48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1"/>
    </row>
    <row r="25" spans="1:22" ht="18.75" customHeight="1" x14ac:dyDescent="0.25">
      <c r="A25" s="59" t="s">
        <v>593</v>
      </c>
      <c r="B25" s="56" t="s">
        <v>31</v>
      </c>
      <c r="C25" s="57" t="s">
        <v>270</v>
      </c>
      <c r="D25" s="57"/>
      <c r="E25" s="56" t="s">
        <v>5</v>
      </c>
      <c r="F25" s="56" t="s">
        <v>90</v>
      </c>
      <c r="G25" s="56" t="s">
        <v>271</v>
      </c>
      <c r="H25" s="56" t="s">
        <v>272</v>
      </c>
      <c r="I25" s="56">
        <v>190</v>
      </c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/>
    </row>
    <row r="26" spans="1:22" ht="18.75" customHeight="1" x14ac:dyDescent="0.25">
      <c r="A26" s="59" t="s">
        <v>593</v>
      </c>
      <c r="B26" s="56" t="s">
        <v>31</v>
      </c>
      <c r="C26" s="57" t="s">
        <v>273</v>
      </c>
      <c r="D26" s="57"/>
      <c r="E26" s="56" t="s">
        <v>5</v>
      </c>
      <c r="F26" s="56" t="s">
        <v>274</v>
      </c>
      <c r="G26" s="56" t="s">
        <v>275</v>
      </c>
      <c r="H26" s="56" t="s">
        <v>276</v>
      </c>
      <c r="I26" s="56">
        <v>60</v>
      </c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1"/>
    </row>
    <row r="27" spans="1:22" ht="18.75" customHeight="1" x14ac:dyDescent="0.25">
      <c r="A27" s="59" t="s">
        <v>594</v>
      </c>
      <c r="B27" s="56" t="s">
        <v>37</v>
      </c>
      <c r="C27" s="57" t="s">
        <v>277</v>
      </c>
      <c r="D27" s="57"/>
      <c r="E27" s="56" t="s">
        <v>33</v>
      </c>
      <c r="F27" s="56" t="s">
        <v>37</v>
      </c>
      <c r="G27" s="56" t="s">
        <v>39</v>
      </c>
      <c r="H27" s="56" t="s">
        <v>39</v>
      </c>
      <c r="I27" s="56">
        <v>30</v>
      </c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1"/>
    </row>
    <row r="28" spans="1:22" ht="18.75" customHeight="1" x14ac:dyDescent="0.25">
      <c r="A28" s="60"/>
      <c r="B28" s="29"/>
      <c r="C28" s="28"/>
      <c r="D28" s="29"/>
      <c r="E28" s="28"/>
      <c r="F28" s="28"/>
      <c r="G28" s="28"/>
      <c r="H28" s="28"/>
      <c r="I28" s="29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/>
    </row>
    <row r="29" spans="1:22" ht="18.75" customHeight="1" x14ac:dyDescent="0.25">
      <c r="A29" s="60"/>
      <c r="B29" s="29"/>
      <c r="C29" s="28"/>
      <c r="D29" s="29"/>
      <c r="E29" s="28"/>
      <c r="F29" s="28"/>
      <c r="G29" s="28"/>
      <c r="H29" s="28"/>
      <c r="I29" s="29"/>
      <c r="J29" s="49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1"/>
    </row>
    <row r="30" spans="1:22" ht="18.75" customHeight="1" x14ac:dyDescent="0.25">
      <c r="A30" s="60"/>
      <c r="B30" s="29"/>
      <c r="C30" s="28"/>
      <c r="D30" s="29"/>
      <c r="E30" s="28"/>
      <c r="F30" s="28"/>
      <c r="G30" s="28"/>
      <c r="H30" s="28"/>
      <c r="I30" s="29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1"/>
    </row>
    <row r="31" spans="1:22" ht="15.75" customHeight="1" x14ac:dyDescent="0.25">
      <c r="A31" s="51"/>
      <c r="B31" s="51"/>
      <c r="C31" s="51"/>
      <c r="D31" s="61"/>
      <c r="E31" s="51"/>
      <c r="F31" s="51"/>
      <c r="G31" s="51"/>
      <c r="H31" s="51"/>
      <c r="I31" s="6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61"/>
      <c r="E32" s="51"/>
      <c r="F32" s="51"/>
      <c r="G32" s="51"/>
      <c r="H32" s="51"/>
      <c r="I32" s="6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61"/>
      <c r="E33" s="51"/>
      <c r="F33" s="51"/>
      <c r="G33" s="51"/>
      <c r="H33" s="51"/>
      <c r="I33" s="6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61"/>
      <c r="E34" s="51"/>
      <c r="F34" s="51"/>
      <c r="G34" s="51"/>
      <c r="H34" s="51"/>
      <c r="I34" s="6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61"/>
      <c r="E35" s="51"/>
      <c r="F35" s="51"/>
      <c r="G35" s="51"/>
      <c r="H35" s="51"/>
      <c r="I35" s="6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61"/>
      <c r="E36" s="51"/>
      <c r="F36" s="51"/>
      <c r="G36" s="51"/>
      <c r="H36" s="51"/>
      <c r="I36" s="6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61"/>
      <c r="E37" s="51"/>
      <c r="F37" s="51"/>
      <c r="G37" s="51"/>
      <c r="H37" s="51"/>
      <c r="I37" s="6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61"/>
      <c r="E38" s="51"/>
      <c r="F38" s="51"/>
      <c r="G38" s="51"/>
      <c r="H38" s="51"/>
      <c r="I38" s="6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61"/>
      <c r="E39" s="51"/>
      <c r="F39" s="51"/>
      <c r="G39" s="51"/>
      <c r="H39" s="51"/>
      <c r="I39" s="6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61"/>
      <c r="E40" s="51"/>
      <c r="F40" s="51"/>
      <c r="G40" s="51"/>
      <c r="H40" s="51"/>
      <c r="I40" s="6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61"/>
      <c r="E41" s="51"/>
      <c r="F41" s="51"/>
      <c r="G41" s="51"/>
      <c r="H41" s="51"/>
      <c r="I41" s="6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61"/>
      <c r="E42" s="51"/>
      <c r="F42" s="51"/>
      <c r="G42" s="51"/>
      <c r="H42" s="51"/>
      <c r="I42" s="6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61"/>
      <c r="E43" s="51"/>
      <c r="F43" s="51"/>
      <c r="G43" s="51"/>
      <c r="H43" s="51"/>
      <c r="I43" s="6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61"/>
      <c r="E44" s="51"/>
      <c r="F44" s="51"/>
      <c r="G44" s="51"/>
      <c r="H44" s="51"/>
      <c r="I44" s="6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61"/>
      <c r="E45" s="51"/>
      <c r="F45" s="51"/>
      <c r="G45" s="51"/>
      <c r="H45" s="51"/>
      <c r="I45" s="6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61"/>
      <c r="E46" s="51"/>
      <c r="F46" s="51"/>
      <c r="G46" s="51"/>
      <c r="H46" s="51"/>
      <c r="I46" s="6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61"/>
      <c r="E47" s="51"/>
      <c r="F47" s="51"/>
      <c r="G47" s="51"/>
      <c r="H47" s="51"/>
      <c r="I47" s="6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61"/>
      <c r="E48" s="51"/>
      <c r="F48" s="51"/>
      <c r="G48" s="51"/>
      <c r="H48" s="51"/>
      <c r="I48" s="6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61"/>
      <c r="E49" s="51"/>
      <c r="F49" s="51"/>
      <c r="G49" s="51"/>
      <c r="H49" s="51"/>
      <c r="I49" s="6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61"/>
      <c r="E50" s="51"/>
      <c r="F50" s="51"/>
      <c r="G50" s="51"/>
      <c r="H50" s="51"/>
      <c r="I50" s="6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61"/>
      <c r="E51" s="51"/>
      <c r="F51" s="51"/>
      <c r="G51" s="51"/>
      <c r="H51" s="51"/>
      <c r="I51" s="6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61"/>
      <c r="E52" s="51"/>
      <c r="F52" s="51"/>
      <c r="G52" s="51"/>
      <c r="H52" s="51"/>
      <c r="I52" s="6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61"/>
      <c r="E53" s="51"/>
      <c r="F53" s="51"/>
      <c r="G53" s="51"/>
      <c r="H53" s="51"/>
      <c r="I53" s="6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61"/>
      <c r="E54" s="51"/>
      <c r="F54" s="51"/>
      <c r="G54" s="51"/>
      <c r="H54" s="51"/>
      <c r="I54" s="6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61"/>
      <c r="E55" s="51"/>
      <c r="F55" s="51"/>
      <c r="G55" s="51"/>
      <c r="H55" s="51"/>
      <c r="I55" s="6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61"/>
      <c r="E56" s="51"/>
      <c r="F56" s="51"/>
      <c r="G56" s="51"/>
      <c r="H56" s="51"/>
      <c r="I56" s="6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61"/>
      <c r="E57" s="51"/>
      <c r="F57" s="51"/>
      <c r="G57" s="51"/>
      <c r="H57" s="51"/>
      <c r="I57" s="6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61"/>
      <c r="E58" s="51"/>
      <c r="F58" s="51"/>
      <c r="G58" s="51"/>
      <c r="H58" s="51"/>
      <c r="I58" s="6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61"/>
      <c r="E59" s="51"/>
      <c r="F59" s="51"/>
      <c r="G59" s="51"/>
      <c r="H59" s="51"/>
      <c r="I59" s="6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61"/>
      <c r="E60" s="51"/>
      <c r="F60" s="51"/>
      <c r="G60" s="51"/>
      <c r="H60" s="51"/>
      <c r="I60" s="6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61"/>
      <c r="E61" s="51"/>
      <c r="F61" s="51"/>
      <c r="G61" s="51"/>
      <c r="H61" s="51"/>
      <c r="I61" s="6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61"/>
      <c r="E62" s="51"/>
      <c r="F62" s="51"/>
      <c r="G62" s="51"/>
      <c r="H62" s="51"/>
      <c r="I62" s="6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61"/>
      <c r="E63" s="51"/>
      <c r="F63" s="51"/>
      <c r="G63" s="51"/>
      <c r="H63" s="51"/>
      <c r="I63" s="6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61"/>
      <c r="E64" s="51"/>
      <c r="F64" s="51"/>
      <c r="G64" s="51"/>
      <c r="H64" s="51"/>
      <c r="I64" s="6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61"/>
      <c r="E65" s="51"/>
      <c r="F65" s="51"/>
      <c r="G65" s="51"/>
      <c r="H65" s="51"/>
      <c r="I65" s="6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61"/>
      <c r="E66" s="51"/>
      <c r="F66" s="51"/>
      <c r="G66" s="51"/>
      <c r="H66" s="51"/>
      <c r="I66" s="6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61"/>
      <c r="E67" s="51"/>
      <c r="F67" s="51"/>
      <c r="G67" s="51"/>
      <c r="H67" s="51"/>
      <c r="I67" s="6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61"/>
      <c r="E68" s="51"/>
      <c r="F68" s="51"/>
      <c r="G68" s="51"/>
      <c r="H68" s="51"/>
      <c r="I68" s="6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61"/>
      <c r="E69" s="51"/>
      <c r="F69" s="51"/>
      <c r="G69" s="51"/>
      <c r="H69" s="51"/>
      <c r="I69" s="6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61"/>
      <c r="E70" s="51"/>
      <c r="F70" s="51"/>
      <c r="G70" s="51"/>
      <c r="H70" s="51"/>
      <c r="I70" s="6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61"/>
      <c r="E71" s="51"/>
      <c r="F71" s="51"/>
      <c r="G71" s="51"/>
      <c r="H71" s="51"/>
      <c r="I71" s="6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61"/>
      <c r="E72" s="51"/>
      <c r="F72" s="51"/>
      <c r="G72" s="51"/>
      <c r="H72" s="51"/>
      <c r="I72" s="6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61"/>
      <c r="E73" s="51"/>
      <c r="F73" s="51"/>
      <c r="G73" s="51"/>
      <c r="H73" s="51"/>
      <c r="I73" s="6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61"/>
      <c r="E74" s="51"/>
      <c r="F74" s="51"/>
      <c r="G74" s="51"/>
      <c r="H74" s="51"/>
      <c r="I74" s="6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61"/>
      <c r="E75" s="51"/>
      <c r="F75" s="51"/>
      <c r="G75" s="51"/>
      <c r="H75" s="51"/>
      <c r="I75" s="6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61"/>
      <c r="E76" s="51"/>
      <c r="F76" s="51"/>
      <c r="G76" s="51"/>
      <c r="H76" s="51"/>
      <c r="I76" s="6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61"/>
      <c r="E77" s="51"/>
      <c r="F77" s="51"/>
      <c r="G77" s="51"/>
      <c r="H77" s="51"/>
      <c r="I77" s="6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61"/>
      <c r="E78" s="51"/>
      <c r="F78" s="51"/>
      <c r="G78" s="51"/>
      <c r="H78" s="51"/>
      <c r="I78" s="6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61"/>
      <c r="E79" s="51"/>
      <c r="F79" s="51"/>
      <c r="G79" s="51"/>
      <c r="H79" s="51"/>
      <c r="I79" s="6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61"/>
      <c r="E80" s="51"/>
      <c r="F80" s="51"/>
      <c r="G80" s="51"/>
      <c r="H80" s="51"/>
      <c r="I80" s="6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61"/>
      <c r="E81" s="51"/>
      <c r="F81" s="51"/>
      <c r="G81" s="51"/>
      <c r="H81" s="51"/>
      <c r="I81" s="6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61"/>
      <c r="E82" s="51"/>
      <c r="F82" s="51"/>
      <c r="G82" s="51"/>
      <c r="H82" s="51"/>
      <c r="I82" s="6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61"/>
      <c r="E83" s="51"/>
      <c r="F83" s="51"/>
      <c r="G83" s="51"/>
      <c r="H83" s="51"/>
      <c r="I83" s="6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61"/>
      <c r="E84" s="51"/>
      <c r="F84" s="51"/>
      <c r="G84" s="51"/>
      <c r="H84" s="51"/>
      <c r="I84" s="6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61"/>
      <c r="E85" s="51"/>
      <c r="F85" s="51"/>
      <c r="G85" s="51"/>
      <c r="H85" s="51"/>
      <c r="I85" s="6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61"/>
      <c r="E86" s="51"/>
      <c r="F86" s="51"/>
      <c r="G86" s="51"/>
      <c r="H86" s="51"/>
      <c r="I86" s="6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61"/>
      <c r="E87" s="51"/>
      <c r="F87" s="51"/>
      <c r="G87" s="51"/>
      <c r="H87" s="51"/>
      <c r="I87" s="6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61"/>
      <c r="E88" s="51"/>
      <c r="F88" s="51"/>
      <c r="G88" s="51"/>
      <c r="H88" s="51"/>
      <c r="I88" s="6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61"/>
      <c r="E89" s="51"/>
      <c r="F89" s="51"/>
      <c r="G89" s="51"/>
      <c r="H89" s="51"/>
      <c r="I89" s="6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61"/>
      <c r="E90" s="51"/>
      <c r="F90" s="51"/>
      <c r="G90" s="51"/>
      <c r="H90" s="51"/>
      <c r="I90" s="6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61"/>
      <c r="E91" s="51"/>
      <c r="F91" s="51"/>
      <c r="G91" s="51"/>
      <c r="H91" s="51"/>
      <c r="I91" s="6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61"/>
      <c r="E92" s="51"/>
      <c r="F92" s="51"/>
      <c r="G92" s="51"/>
      <c r="H92" s="51"/>
      <c r="I92" s="6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61"/>
      <c r="E93" s="51"/>
      <c r="F93" s="51"/>
      <c r="G93" s="51"/>
      <c r="H93" s="51"/>
      <c r="I93" s="6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61"/>
      <c r="E94" s="51"/>
      <c r="F94" s="51"/>
      <c r="G94" s="51"/>
      <c r="H94" s="51"/>
      <c r="I94" s="6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61"/>
      <c r="E95" s="51"/>
      <c r="F95" s="51"/>
      <c r="G95" s="51"/>
      <c r="H95" s="51"/>
      <c r="I95" s="6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61"/>
      <c r="E96" s="51"/>
      <c r="F96" s="51"/>
      <c r="G96" s="51"/>
      <c r="H96" s="51"/>
      <c r="I96" s="6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61"/>
      <c r="E97" s="51"/>
      <c r="F97" s="51"/>
      <c r="G97" s="51"/>
      <c r="H97" s="51"/>
      <c r="I97" s="6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61"/>
      <c r="E98" s="51"/>
      <c r="F98" s="51"/>
      <c r="G98" s="51"/>
      <c r="H98" s="51"/>
      <c r="I98" s="6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61"/>
      <c r="E99" s="51"/>
      <c r="F99" s="51"/>
      <c r="G99" s="51"/>
      <c r="H99" s="51"/>
      <c r="I99" s="6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61"/>
      <c r="E100" s="51"/>
      <c r="F100" s="51"/>
      <c r="G100" s="51"/>
      <c r="H100" s="51"/>
      <c r="I100" s="6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61"/>
      <c r="E101" s="51"/>
      <c r="F101" s="51"/>
      <c r="G101" s="51"/>
      <c r="H101" s="51"/>
      <c r="I101" s="6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61"/>
      <c r="E102" s="51"/>
      <c r="F102" s="51"/>
      <c r="G102" s="51"/>
      <c r="H102" s="51"/>
      <c r="I102" s="6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61"/>
      <c r="E103" s="51"/>
      <c r="F103" s="51"/>
      <c r="G103" s="51"/>
      <c r="H103" s="51"/>
      <c r="I103" s="6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61"/>
      <c r="E104" s="51"/>
      <c r="F104" s="51"/>
      <c r="G104" s="51"/>
      <c r="H104" s="51"/>
      <c r="I104" s="6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61"/>
      <c r="E105" s="51"/>
      <c r="F105" s="51"/>
      <c r="G105" s="51"/>
      <c r="H105" s="51"/>
      <c r="I105" s="6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61"/>
      <c r="E106" s="51"/>
      <c r="F106" s="51"/>
      <c r="G106" s="51"/>
      <c r="H106" s="51"/>
      <c r="I106" s="6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61"/>
      <c r="E107" s="51"/>
      <c r="F107" s="51"/>
      <c r="G107" s="51"/>
      <c r="H107" s="51"/>
      <c r="I107" s="6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61"/>
      <c r="E108" s="51"/>
      <c r="F108" s="51"/>
      <c r="G108" s="51"/>
      <c r="H108" s="51"/>
      <c r="I108" s="6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61"/>
      <c r="E109" s="51"/>
      <c r="F109" s="51"/>
      <c r="G109" s="51"/>
      <c r="H109" s="51"/>
      <c r="I109" s="6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61"/>
      <c r="E110" s="51"/>
      <c r="F110" s="51"/>
      <c r="G110" s="51"/>
      <c r="H110" s="51"/>
      <c r="I110" s="6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61"/>
      <c r="E111" s="51"/>
      <c r="F111" s="51"/>
      <c r="G111" s="51"/>
      <c r="H111" s="51"/>
      <c r="I111" s="6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61"/>
      <c r="E112" s="51"/>
      <c r="F112" s="51"/>
      <c r="G112" s="51"/>
      <c r="H112" s="51"/>
      <c r="I112" s="6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61"/>
      <c r="E113" s="51"/>
      <c r="F113" s="51"/>
      <c r="G113" s="51"/>
      <c r="H113" s="51"/>
      <c r="I113" s="6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61"/>
      <c r="E114" s="51"/>
      <c r="F114" s="51"/>
      <c r="G114" s="51"/>
      <c r="H114" s="51"/>
      <c r="I114" s="6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61"/>
      <c r="E115" s="51"/>
      <c r="F115" s="51"/>
      <c r="G115" s="51"/>
      <c r="H115" s="51"/>
      <c r="I115" s="6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61"/>
      <c r="E116" s="51"/>
      <c r="F116" s="51"/>
      <c r="G116" s="51"/>
      <c r="H116" s="51"/>
      <c r="I116" s="6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61"/>
      <c r="E117" s="51"/>
      <c r="F117" s="51"/>
      <c r="G117" s="51"/>
      <c r="H117" s="51"/>
      <c r="I117" s="6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61"/>
      <c r="E118" s="51"/>
      <c r="F118" s="51"/>
      <c r="G118" s="51"/>
      <c r="H118" s="51"/>
      <c r="I118" s="6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61"/>
      <c r="E119" s="51"/>
      <c r="F119" s="51"/>
      <c r="G119" s="51"/>
      <c r="H119" s="51"/>
      <c r="I119" s="6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61"/>
      <c r="E120" s="51"/>
      <c r="F120" s="51"/>
      <c r="G120" s="51"/>
      <c r="H120" s="51"/>
      <c r="I120" s="6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61"/>
      <c r="E121" s="51"/>
      <c r="F121" s="51"/>
      <c r="G121" s="51"/>
      <c r="H121" s="51"/>
      <c r="I121" s="6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61"/>
      <c r="E122" s="51"/>
      <c r="F122" s="51"/>
      <c r="G122" s="51"/>
      <c r="H122" s="51"/>
      <c r="I122" s="6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61"/>
      <c r="E123" s="51"/>
      <c r="F123" s="51"/>
      <c r="G123" s="51"/>
      <c r="H123" s="51"/>
      <c r="I123" s="6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61"/>
      <c r="E124" s="51"/>
      <c r="F124" s="51"/>
      <c r="G124" s="51"/>
      <c r="H124" s="51"/>
      <c r="I124" s="6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61"/>
      <c r="E125" s="51"/>
      <c r="F125" s="51"/>
      <c r="G125" s="51"/>
      <c r="H125" s="51"/>
      <c r="I125" s="6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61"/>
      <c r="E126" s="51"/>
      <c r="F126" s="51"/>
      <c r="G126" s="51"/>
      <c r="H126" s="51"/>
      <c r="I126" s="6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61"/>
      <c r="E127" s="51"/>
      <c r="F127" s="51"/>
      <c r="G127" s="51"/>
      <c r="H127" s="51"/>
      <c r="I127" s="6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61"/>
      <c r="E128" s="51"/>
      <c r="F128" s="51"/>
      <c r="G128" s="51"/>
      <c r="H128" s="51"/>
      <c r="I128" s="6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61"/>
      <c r="E129" s="51"/>
      <c r="F129" s="51"/>
      <c r="G129" s="51"/>
      <c r="H129" s="51"/>
      <c r="I129" s="6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61"/>
      <c r="E130" s="51"/>
      <c r="F130" s="51"/>
      <c r="G130" s="51"/>
      <c r="H130" s="51"/>
      <c r="I130" s="6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61"/>
      <c r="E131" s="51"/>
      <c r="F131" s="51"/>
      <c r="G131" s="51"/>
      <c r="H131" s="51"/>
      <c r="I131" s="6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61"/>
      <c r="E132" s="51"/>
      <c r="F132" s="51"/>
      <c r="G132" s="51"/>
      <c r="H132" s="51"/>
      <c r="I132" s="6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61"/>
      <c r="E133" s="51"/>
      <c r="F133" s="51"/>
      <c r="G133" s="51"/>
      <c r="H133" s="51"/>
      <c r="I133" s="6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61"/>
      <c r="E134" s="51"/>
      <c r="F134" s="51"/>
      <c r="G134" s="51"/>
      <c r="H134" s="51"/>
      <c r="I134" s="6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61"/>
      <c r="E135" s="51"/>
      <c r="F135" s="51"/>
      <c r="G135" s="51"/>
      <c r="H135" s="51"/>
      <c r="I135" s="6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61"/>
      <c r="E136" s="51"/>
      <c r="F136" s="51"/>
      <c r="G136" s="51"/>
      <c r="H136" s="51"/>
      <c r="I136" s="6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61"/>
      <c r="E137" s="51"/>
      <c r="F137" s="51"/>
      <c r="G137" s="51"/>
      <c r="H137" s="51"/>
      <c r="I137" s="6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61"/>
      <c r="E138" s="51"/>
      <c r="F138" s="51"/>
      <c r="G138" s="51"/>
      <c r="H138" s="51"/>
      <c r="I138" s="6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61"/>
      <c r="E139" s="51"/>
      <c r="F139" s="51"/>
      <c r="G139" s="51"/>
      <c r="H139" s="51"/>
      <c r="I139" s="6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61"/>
      <c r="E140" s="51"/>
      <c r="F140" s="51"/>
      <c r="G140" s="51"/>
      <c r="H140" s="51"/>
      <c r="I140" s="6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61"/>
      <c r="E141" s="51"/>
      <c r="F141" s="51"/>
      <c r="G141" s="51"/>
      <c r="H141" s="51"/>
      <c r="I141" s="6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61"/>
      <c r="E142" s="51"/>
      <c r="F142" s="51"/>
      <c r="G142" s="51"/>
      <c r="H142" s="51"/>
      <c r="I142" s="6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61"/>
      <c r="E143" s="51"/>
      <c r="F143" s="51"/>
      <c r="G143" s="51"/>
      <c r="H143" s="51"/>
      <c r="I143" s="6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61"/>
      <c r="E144" s="51"/>
      <c r="F144" s="51"/>
      <c r="G144" s="51"/>
      <c r="H144" s="51"/>
      <c r="I144" s="6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61"/>
      <c r="E145" s="51"/>
      <c r="F145" s="51"/>
      <c r="G145" s="51"/>
      <c r="H145" s="51"/>
      <c r="I145" s="6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61"/>
      <c r="E146" s="51"/>
      <c r="F146" s="51"/>
      <c r="G146" s="51"/>
      <c r="H146" s="51"/>
      <c r="I146" s="6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61"/>
      <c r="E147" s="51"/>
      <c r="F147" s="51"/>
      <c r="G147" s="51"/>
      <c r="H147" s="51"/>
      <c r="I147" s="6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61"/>
      <c r="E148" s="51"/>
      <c r="F148" s="51"/>
      <c r="G148" s="51"/>
      <c r="H148" s="51"/>
      <c r="I148" s="6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61"/>
      <c r="E149" s="51"/>
      <c r="F149" s="51"/>
      <c r="G149" s="51"/>
      <c r="H149" s="51"/>
      <c r="I149" s="6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61"/>
      <c r="E150" s="51"/>
      <c r="F150" s="51"/>
      <c r="G150" s="51"/>
      <c r="H150" s="51"/>
      <c r="I150" s="6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61"/>
      <c r="E151" s="51"/>
      <c r="F151" s="51"/>
      <c r="G151" s="51"/>
      <c r="H151" s="51"/>
      <c r="I151" s="6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61"/>
      <c r="E152" s="51"/>
      <c r="F152" s="51"/>
      <c r="G152" s="51"/>
      <c r="H152" s="51"/>
      <c r="I152" s="6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61"/>
      <c r="E153" s="51"/>
      <c r="F153" s="51"/>
      <c r="G153" s="51"/>
      <c r="H153" s="51"/>
      <c r="I153" s="6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61"/>
      <c r="E154" s="51"/>
      <c r="F154" s="51"/>
      <c r="G154" s="51"/>
      <c r="H154" s="51"/>
      <c r="I154" s="6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61"/>
      <c r="E155" s="51"/>
      <c r="F155" s="51"/>
      <c r="G155" s="51"/>
      <c r="H155" s="51"/>
      <c r="I155" s="6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61"/>
      <c r="E156" s="51"/>
      <c r="F156" s="51"/>
      <c r="G156" s="51"/>
      <c r="H156" s="51"/>
      <c r="I156" s="6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61"/>
      <c r="E157" s="51"/>
      <c r="F157" s="51"/>
      <c r="G157" s="51"/>
      <c r="H157" s="51"/>
      <c r="I157" s="6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61"/>
      <c r="E158" s="51"/>
      <c r="F158" s="51"/>
      <c r="G158" s="51"/>
      <c r="H158" s="51"/>
      <c r="I158" s="6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61"/>
      <c r="E159" s="51"/>
      <c r="F159" s="51"/>
      <c r="G159" s="51"/>
      <c r="H159" s="51"/>
      <c r="I159" s="6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61"/>
      <c r="E160" s="51"/>
      <c r="F160" s="51"/>
      <c r="G160" s="51"/>
      <c r="H160" s="51"/>
      <c r="I160" s="6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61"/>
      <c r="E161" s="51"/>
      <c r="F161" s="51"/>
      <c r="G161" s="51"/>
      <c r="H161" s="51"/>
      <c r="I161" s="6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61"/>
      <c r="E162" s="51"/>
      <c r="F162" s="51"/>
      <c r="G162" s="51"/>
      <c r="H162" s="51"/>
      <c r="I162" s="6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61"/>
      <c r="E163" s="51"/>
      <c r="F163" s="51"/>
      <c r="G163" s="51"/>
      <c r="H163" s="51"/>
      <c r="I163" s="6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61"/>
      <c r="E164" s="51"/>
      <c r="F164" s="51"/>
      <c r="G164" s="51"/>
      <c r="H164" s="51"/>
      <c r="I164" s="6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61"/>
      <c r="E165" s="51"/>
      <c r="F165" s="51"/>
      <c r="G165" s="51"/>
      <c r="H165" s="51"/>
      <c r="I165" s="6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61"/>
      <c r="E166" s="51"/>
      <c r="F166" s="51"/>
      <c r="G166" s="51"/>
      <c r="H166" s="51"/>
      <c r="I166" s="6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61"/>
      <c r="E167" s="51"/>
      <c r="F167" s="51"/>
      <c r="G167" s="51"/>
      <c r="H167" s="51"/>
      <c r="I167" s="6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61"/>
      <c r="E168" s="51"/>
      <c r="F168" s="51"/>
      <c r="G168" s="51"/>
      <c r="H168" s="51"/>
      <c r="I168" s="6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61"/>
      <c r="E169" s="51"/>
      <c r="F169" s="51"/>
      <c r="G169" s="51"/>
      <c r="H169" s="51"/>
      <c r="I169" s="6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61"/>
      <c r="E170" s="51"/>
      <c r="F170" s="51"/>
      <c r="G170" s="51"/>
      <c r="H170" s="51"/>
      <c r="I170" s="6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61"/>
      <c r="E171" s="51"/>
      <c r="F171" s="51"/>
      <c r="G171" s="51"/>
      <c r="H171" s="51"/>
      <c r="I171" s="6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61"/>
      <c r="E172" s="51"/>
      <c r="F172" s="51"/>
      <c r="G172" s="51"/>
      <c r="H172" s="51"/>
      <c r="I172" s="6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61"/>
      <c r="E173" s="51"/>
      <c r="F173" s="51"/>
      <c r="G173" s="51"/>
      <c r="H173" s="51"/>
      <c r="I173" s="6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61"/>
      <c r="E174" s="51"/>
      <c r="F174" s="51"/>
      <c r="G174" s="51"/>
      <c r="H174" s="51"/>
      <c r="I174" s="6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61"/>
      <c r="E175" s="51"/>
      <c r="F175" s="51"/>
      <c r="G175" s="51"/>
      <c r="H175" s="51"/>
      <c r="I175" s="6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61"/>
      <c r="E176" s="51"/>
      <c r="F176" s="51"/>
      <c r="G176" s="51"/>
      <c r="H176" s="51"/>
      <c r="I176" s="6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61"/>
      <c r="E177" s="51"/>
      <c r="F177" s="51"/>
      <c r="G177" s="51"/>
      <c r="H177" s="51"/>
      <c r="I177" s="6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61"/>
      <c r="E178" s="51"/>
      <c r="F178" s="51"/>
      <c r="G178" s="51"/>
      <c r="H178" s="51"/>
      <c r="I178" s="6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61"/>
      <c r="E179" s="51"/>
      <c r="F179" s="51"/>
      <c r="G179" s="51"/>
      <c r="H179" s="51"/>
      <c r="I179" s="6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61"/>
      <c r="E180" s="51"/>
      <c r="F180" s="51"/>
      <c r="G180" s="51"/>
      <c r="H180" s="51"/>
      <c r="I180" s="6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61"/>
      <c r="E181" s="51"/>
      <c r="F181" s="51"/>
      <c r="G181" s="51"/>
      <c r="H181" s="51"/>
      <c r="I181" s="6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61"/>
      <c r="E182" s="51"/>
      <c r="F182" s="51"/>
      <c r="G182" s="51"/>
      <c r="H182" s="51"/>
      <c r="I182" s="6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61"/>
      <c r="E183" s="51"/>
      <c r="F183" s="51"/>
      <c r="G183" s="51"/>
      <c r="H183" s="51"/>
      <c r="I183" s="6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61"/>
      <c r="E184" s="51"/>
      <c r="F184" s="51"/>
      <c r="G184" s="51"/>
      <c r="H184" s="51"/>
      <c r="I184" s="6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61"/>
      <c r="E185" s="51"/>
      <c r="F185" s="51"/>
      <c r="G185" s="51"/>
      <c r="H185" s="51"/>
      <c r="I185" s="6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61"/>
      <c r="E186" s="51"/>
      <c r="F186" s="51"/>
      <c r="G186" s="51"/>
      <c r="H186" s="51"/>
      <c r="I186" s="6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61"/>
      <c r="E187" s="51"/>
      <c r="F187" s="51"/>
      <c r="G187" s="51"/>
      <c r="H187" s="51"/>
      <c r="I187" s="6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61"/>
      <c r="E188" s="51"/>
      <c r="F188" s="51"/>
      <c r="G188" s="51"/>
      <c r="H188" s="51"/>
      <c r="I188" s="6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61"/>
      <c r="E189" s="51"/>
      <c r="F189" s="51"/>
      <c r="G189" s="51"/>
      <c r="H189" s="51"/>
      <c r="I189" s="6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61"/>
      <c r="E190" s="51"/>
      <c r="F190" s="51"/>
      <c r="G190" s="51"/>
      <c r="H190" s="51"/>
      <c r="I190" s="6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61"/>
      <c r="E191" s="51"/>
      <c r="F191" s="51"/>
      <c r="G191" s="51"/>
      <c r="H191" s="51"/>
      <c r="I191" s="6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61"/>
      <c r="E192" s="51"/>
      <c r="F192" s="51"/>
      <c r="G192" s="51"/>
      <c r="H192" s="51"/>
      <c r="I192" s="6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61"/>
      <c r="E193" s="51"/>
      <c r="F193" s="51"/>
      <c r="G193" s="51"/>
      <c r="H193" s="51"/>
      <c r="I193" s="6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61"/>
      <c r="E194" s="51"/>
      <c r="F194" s="51"/>
      <c r="G194" s="51"/>
      <c r="H194" s="51"/>
      <c r="I194" s="6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61"/>
      <c r="E195" s="51"/>
      <c r="F195" s="51"/>
      <c r="G195" s="51"/>
      <c r="H195" s="51"/>
      <c r="I195" s="6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61"/>
      <c r="E196" s="51"/>
      <c r="F196" s="51"/>
      <c r="G196" s="51"/>
      <c r="H196" s="51"/>
      <c r="I196" s="6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61"/>
      <c r="E197" s="51"/>
      <c r="F197" s="51"/>
      <c r="G197" s="51"/>
      <c r="H197" s="51"/>
      <c r="I197" s="6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61"/>
      <c r="E198" s="51"/>
      <c r="F198" s="51"/>
      <c r="G198" s="51"/>
      <c r="H198" s="51"/>
      <c r="I198" s="6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61"/>
      <c r="E199" s="51"/>
      <c r="F199" s="51"/>
      <c r="G199" s="51"/>
      <c r="H199" s="51"/>
      <c r="I199" s="6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61"/>
      <c r="E200" s="51"/>
      <c r="F200" s="51"/>
      <c r="G200" s="51"/>
      <c r="H200" s="51"/>
      <c r="I200" s="6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61"/>
      <c r="E201" s="51"/>
      <c r="F201" s="51"/>
      <c r="G201" s="51"/>
      <c r="H201" s="51"/>
      <c r="I201" s="6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61"/>
      <c r="E202" s="51"/>
      <c r="F202" s="51"/>
      <c r="G202" s="51"/>
      <c r="H202" s="51"/>
      <c r="I202" s="6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61"/>
      <c r="E203" s="51"/>
      <c r="F203" s="51"/>
      <c r="G203" s="51"/>
      <c r="H203" s="51"/>
      <c r="I203" s="6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61"/>
      <c r="E204" s="51"/>
      <c r="F204" s="51"/>
      <c r="G204" s="51"/>
      <c r="H204" s="51"/>
      <c r="I204" s="6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61"/>
      <c r="E205" s="51"/>
      <c r="F205" s="51"/>
      <c r="G205" s="51"/>
      <c r="H205" s="51"/>
      <c r="I205" s="6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61"/>
      <c r="E206" s="51"/>
      <c r="F206" s="51"/>
      <c r="G206" s="51"/>
      <c r="H206" s="51"/>
      <c r="I206" s="6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61"/>
      <c r="E207" s="51"/>
      <c r="F207" s="51"/>
      <c r="G207" s="51"/>
      <c r="H207" s="51"/>
      <c r="I207" s="6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61"/>
      <c r="E208" s="51"/>
      <c r="F208" s="51"/>
      <c r="G208" s="51"/>
      <c r="H208" s="51"/>
      <c r="I208" s="6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61"/>
      <c r="E209" s="51"/>
      <c r="F209" s="51"/>
      <c r="G209" s="51"/>
      <c r="H209" s="51"/>
      <c r="I209" s="6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61"/>
      <c r="E210" s="51"/>
      <c r="F210" s="51"/>
      <c r="G210" s="51"/>
      <c r="H210" s="51"/>
      <c r="I210" s="6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61"/>
      <c r="E211" s="51"/>
      <c r="F211" s="51"/>
      <c r="G211" s="51"/>
      <c r="H211" s="51"/>
      <c r="I211" s="6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61"/>
      <c r="E212" s="51"/>
      <c r="F212" s="51"/>
      <c r="G212" s="51"/>
      <c r="H212" s="51"/>
      <c r="I212" s="6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61"/>
      <c r="E213" s="51"/>
      <c r="F213" s="51"/>
      <c r="G213" s="51"/>
      <c r="H213" s="51"/>
      <c r="I213" s="6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61"/>
      <c r="E214" s="51"/>
      <c r="F214" s="51"/>
      <c r="G214" s="51"/>
      <c r="H214" s="51"/>
      <c r="I214" s="6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61"/>
      <c r="E215" s="51"/>
      <c r="F215" s="51"/>
      <c r="G215" s="51"/>
      <c r="H215" s="51"/>
      <c r="I215" s="6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61"/>
      <c r="E216" s="51"/>
      <c r="F216" s="51"/>
      <c r="G216" s="51"/>
      <c r="H216" s="51"/>
      <c r="I216" s="6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61"/>
      <c r="E217" s="51"/>
      <c r="F217" s="51"/>
      <c r="G217" s="51"/>
      <c r="H217" s="51"/>
      <c r="I217" s="6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61"/>
      <c r="E218" s="51"/>
      <c r="F218" s="51"/>
      <c r="G218" s="51"/>
      <c r="H218" s="51"/>
      <c r="I218" s="6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61"/>
      <c r="E219" s="51"/>
      <c r="F219" s="51"/>
      <c r="G219" s="51"/>
      <c r="H219" s="51"/>
      <c r="I219" s="6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61"/>
      <c r="E220" s="51"/>
      <c r="F220" s="51"/>
      <c r="G220" s="51"/>
      <c r="H220" s="51"/>
      <c r="I220" s="6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61"/>
      <c r="E221" s="51"/>
      <c r="F221" s="51"/>
      <c r="G221" s="51"/>
      <c r="H221" s="51"/>
      <c r="I221" s="6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61"/>
      <c r="E222" s="51"/>
      <c r="F222" s="51"/>
      <c r="G222" s="51"/>
      <c r="H222" s="51"/>
      <c r="I222" s="6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61"/>
      <c r="E223" s="51"/>
      <c r="F223" s="51"/>
      <c r="G223" s="51"/>
      <c r="H223" s="51"/>
      <c r="I223" s="6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61"/>
      <c r="E224" s="51"/>
      <c r="F224" s="51"/>
      <c r="G224" s="51"/>
      <c r="H224" s="51"/>
      <c r="I224" s="6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61"/>
      <c r="E225" s="51"/>
      <c r="F225" s="51"/>
      <c r="G225" s="51"/>
      <c r="H225" s="51"/>
      <c r="I225" s="6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61"/>
      <c r="E226" s="51"/>
      <c r="F226" s="51"/>
      <c r="G226" s="51"/>
      <c r="H226" s="51"/>
      <c r="I226" s="6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61"/>
      <c r="E227" s="51"/>
      <c r="F227" s="51"/>
      <c r="G227" s="51"/>
      <c r="H227" s="51"/>
      <c r="I227" s="6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61"/>
      <c r="E228" s="51"/>
      <c r="F228" s="51"/>
      <c r="G228" s="51"/>
      <c r="H228" s="51"/>
      <c r="I228" s="6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61"/>
      <c r="E229" s="51"/>
      <c r="F229" s="51"/>
      <c r="G229" s="51"/>
      <c r="H229" s="51"/>
      <c r="I229" s="6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61"/>
      <c r="E230" s="51"/>
      <c r="F230" s="51"/>
      <c r="G230" s="51"/>
      <c r="H230" s="51"/>
      <c r="I230" s="6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61"/>
      <c r="E231" s="51"/>
      <c r="F231" s="51"/>
      <c r="G231" s="51"/>
      <c r="H231" s="51"/>
      <c r="I231" s="6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61"/>
      <c r="E232" s="51"/>
      <c r="F232" s="51"/>
      <c r="G232" s="51"/>
      <c r="H232" s="51"/>
      <c r="I232" s="6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61"/>
      <c r="E233" s="51"/>
      <c r="F233" s="51"/>
      <c r="G233" s="51"/>
      <c r="H233" s="51"/>
      <c r="I233" s="6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61"/>
      <c r="E234" s="51"/>
      <c r="F234" s="51"/>
      <c r="G234" s="51"/>
      <c r="H234" s="51"/>
      <c r="I234" s="6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61"/>
      <c r="E235" s="51"/>
      <c r="F235" s="51"/>
      <c r="G235" s="51"/>
      <c r="H235" s="51"/>
      <c r="I235" s="6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61"/>
      <c r="E236" s="51"/>
      <c r="F236" s="51"/>
      <c r="G236" s="51"/>
      <c r="H236" s="51"/>
      <c r="I236" s="6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61"/>
      <c r="E237" s="51"/>
      <c r="F237" s="51"/>
      <c r="G237" s="51"/>
      <c r="H237" s="51"/>
      <c r="I237" s="6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61"/>
      <c r="E238" s="51"/>
      <c r="F238" s="51"/>
      <c r="G238" s="51"/>
      <c r="H238" s="51"/>
      <c r="I238" s="6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61"/>
      <c r="E239" s="51"/>
      <c r="F239" s="51"/>
      <c r="G239" s="51"/>
      <c r="H239" s="51"/>
      <c r="I239" s="6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61"/>
      <c r="E240" s="51"/>
      <c r="F240" s="51"/>
      <c r="G240" s="51"/>
      <c r="H240" s="51"/>
      <c r="I240" s="6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61"/>
      <c r="E241" s="51"/>
      <c r="F241" s="51"/>
      <c r="G241" s="51"/>
      <c r="H241" s="51"/>
      <c r="I241" s="6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61"/>
      <c r="E242" s="51"/>
      <c r="F242" s="51"/>
      <c r="G242" s="51"/>
      <c r="H242" s="51"/>
      <c r="I242" s="6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61"/>
      <c r="E243" s="51"/>
      <c r="F243" s="51"/>
      <c r="G243" s="51"/>
      <c r="H243" s="51"/>
      <c r="I243" s="6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61"/>
      <c r="E244" s="51"/>
      <c r="F244" s="51"/>
      <c r="G244" s="51"/>
      <c r="H244" s="51"/>
      <c r="I244" s="6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61"/>
      <c r="E245" s="51"/>
      <c r="F245" s="51"/>
      <c r="G245" s="51"/>
      <c r="H245" s="51"/>
      <c r="I245" s="6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61"/>
      <c r="E246" s="51"/>
      <c r="F246" s="51"/>
      <c r="G246" s="51"/>
      <c r="H246" s="51"/>
      <c r="I246" s="6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61"/>
      <c r="E247" s="51"/>
      <c r="F247" s="51"/>
      <c r="G247" s="51"/>
      <c r="H247" s="51"/>
      <c r="I247" s="6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61"/>
      <c r="E248" s="51"/>
      <c r="F248" s="51"/>
      <c r="G248" s="51"/>
      <c r="H248" s="51"/>
      <c r="I248" s="6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61"/>
      <c r="E249" s="51"/>
      <c r="F249" s="51"/>
      <c r="G249" s="51"/>
      <c r="H249" s="51"/>
      <c r="I249" s="6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61"/>
      <c r="E250" s="51"/>
      <c r="F250" s="51"/>
      <c r="G250" s="51"/>
      <c r="H250" s="51"/>
      <c r="I250" s="6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61"/>
      <c r="E251" s="51"/>
      <c r="F251" s="51"/>
      <c r="G251" s="51"/>
      <c r="H251" s="51"/>
      <c r="I251" s="6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61"/>
      <c r="E252" s="51"/>
      <c r="F252" s="51"/>
      <c r="G252" s="51"/>
      <c r="H252" s="51"/>
      <c r="I252" s="6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61"/>
      <c r="E253" s="51"/>
      <c r="F253" s="51"/>
      <c r="G253" s="51"/>
      <c r="H253" s="51"/>
      <c r="I253" s="6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61"/>
      <c r="E254" s="51"/>
      <c r="F254" s="51"/>
      <c r="G254" s="51"/>
      <c r="H254" s="51"/>
      <c r="I254" s="6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61"/>
      <c r="E255" s="51"/>
      <c r="F255" s="51"/>
      <c r="G255" s="51"/>
      <c r="H255" s="51"/>
      <c r="I255" s="6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61"/>
      <c r="E256" s="51"/>
      <c r="F256" s="51"/>
      <c r="G256" s="51"/>
      <c r="H256" s="51"/>
      <c r="I256" s="6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61"/>
      <c r="E257" s="51"/>
      <c r="F257" s="51"/>
      <c r="G257" s="51"/>
      <c r="H257" s="51"/>
      <c r="I257" s="6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61"/>
      <c r="E258" s="51"/>
      <c r="F258" s="51"/>
      <c r="G258" s="51"/>
      <c r="H258" s="51"/>
      <c r="I258" s="6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61"/>
      <c r="E259" s="51"/>
      <c r="F259" s="51"/>
      <c r="G259" s="51"/>
      <c r="H259" s="51"/>
      <c r="I259" s="6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61"/>
      <c r="E260" s="51"/>
      <c r="F260" s="51"/>
      <c r="G260" s="51"/>
      <c r="H260" s="51"/>
      <c r="I260" s="6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61"/>
      <c r="E261" s="51"/>
      <c r="F261" s="51"/>
      <c r="G261" s="51"/>
      <c r="H261" s="51"/>
      <c r="I261" s="6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61"/>
      <c r="E262" s="51"/>
      <c r="F262" s="51"/>
      <c r="G262" s="51"/>
      <c r="H262" s="51"/>
      <c r="I262" s="6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61"/>
      <c r="E263" s="51"/>
      <c r="F263" s="51"/>
      <c r="G263" s="51"/>
      <c r="H263" s="51"/>
      <c r="I263" s="6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61"/>
      <c r="E264" s="51"/>
      <c r="F264" s="51"/>
      <c r="G264" s="51"/>
      <c r="H264" s="51"/>
      <c r="I264" s="6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61"/>
      <c r="E265" s="51"/>
      <c r="F265" s="51"/>
      <c r="G265" s="51"/>
      <c r="H265" s="51"/>
      <c r="I265" s="6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61"/>
      <c r="E266" s="51"/>
      <c r="F266" s="51"/>
      <c r="G266" s="51"/>
      <c r="H266" s="51"/>
      <c r="I266" s="6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61"/>
      <c r="E267" s="51"/>
      <c r="F267" s="51"/>
      <c r="G267" s="51"/>
      <c r="H267" s="51"/>
      <c r="I267" s="6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61"/>
      <c r="E268" s="51"/>
      <c r="F268" s="51"/>
      <c r="G268" s="51"/>
      <c r="H268" s="51"/>
      <c r="I268" s="6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61"/>
      <c r="E269" s="51"/>
      <c r="F269" s="51"/>
      <c r="G269" s="51"/>
      <c r="H269" s="51"/>
      <c r="I269" s="6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61"/>
      <c r="E270" s="51"/>
      <c r="F270" s="51"/>
      <c r="G270" s="51"/>
      <c r="H270" s="51"/>
      <c r="I270" s="6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61"/>
      <c r="E271" s="51"/>
      <c r="F271" s="51"/>
      <c r="G271" s="51"/>
      <c r="H271" s="51"/>
      <c r="I271" s="6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61"/>
      <c r="E272" s="51"/>
      <c r="F272" s="51"/>
      <c r="G272" s="51"/>
      <c r="H272" s="51"/>
      <c r="I272" s="6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61"/>
      <c r="E273" s="51"/>
      <c r="F273" s="51"/>
      <c r="G273" s="51"/>
      <c r="H273" s="51"/>
      <c r="I273" s="6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61"/>
      <c r="E274" s="51"/>
      <c r="F274" s="51"/>
      <c r="G274" s="51"/>
      <c r="H274" s="51"/>
      <c r="I274" s="6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61"/>
      <c r="E275" s="51"/>
      <c r="F275" s="51"/>
      <c r="G275" s="51"/>
      <c r="H275" s="51"/>
      <c r="I275" s="6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61"/>
      <c r="E276" s="51"/>
      <c r="F276" s="51"/>
      <c r="G276" s="51"/>
      <c r="H276" s="51"/>
      <c r="I276" s="6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61"/>
      <c r="E277" s="51"/>
      <c r="F277" s="51"/>
      <c r="G277" s="51"/>
      <c r="H277" s="51"/>
      <c r="I277" s="6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61"/>
      <c r="E278" s="51"/>
      <c r="F278" s="51"/>
      <c r="G278" s="51"/>
      <c r="H278" s="51"/>
      <c r="I278" s="6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61"/>
      <c r="E279" s="51"/>
      <c r="F279" s="51"/>
      <c r="G279" s="51"/>
      <c r="H279" s="51"/>
      <c r="I279" s="6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61"/>
      <c r="E280" s="51"/>
      <c r="F280" s="51"/>
      <c r="G280" s="51"/>
      <c r="H280" s="51"/>
      <c r="I280" s="6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61"/>
      <c r="E281" s="51"/>
      <c r="F281" s="51"/>
      <c r="G281" s="51"/>
      <c r="H281" s="51"/>
      <c r="I281" s="6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61"/>
      <c r="E282" s="51"/>
      <c r="F282" s="51"/>
      <c r="G282" s="51"/>
      <c r="H282" s="51"/>
      <c r="I282" s="6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61"/>
      <c r="E283" s="51"/>
      <c r="F283" s="51"/>
      <c r="G283" s="51"/>
      <c r="H283" s="51"/>
      <c r="I283" s="6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61"/>
      <c r="E284" s="51"/>
      <c r="F284" s="51"/>
      <c r="G284" s="51"/>
      <c r="H284" s="51"/>
      <c r="I284" s="6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61"/>
      <c r="E285" s="51"/>
      <c r="F285" s="51"/>
      <c r="G285" s="51"/>
      <c r="H285" s="51"/>
      <c r="I285" s="6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61"/>
      <c r="E286" s="51"/>
      <c r="F286" s="51"/>
      <c r="G286" s="51"/>
      <c r="H286" s="51"/>
      <c r="I286" s="6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61"/>
      <c r="E287" s="51"/>
      <c r="F287" s="51"/>
      <c r="G287" s="51"/>
      <c r="H287" s="51"/>
      <c r="I287" s="6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61"/>
      <c r="E288" s="51"/>
      <c r="F288" s="51"/>
      <c r="G288" s="51"/>
      <c r="H288" s="51"/>
      <c r="I288" s="6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61"/>
      <c r="E289" s="51"/>
      <c r="F289" s="51"/>
      <c r="G289" s="51"/>
      <c r="H289" s="51"/>
      <c r="I289" s="6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61"/>
      <c r="E290" s="51"/>
      <c r="F290" s="51"/>
      <c r="G290" s="51"/>
      <c r="H290" s="51"/>
      <c r="I290" s="6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61"/>
      <c r="E291" s="51"/>
      <c r="F291" s="51"/>
      <c r="G291" s="51"/>
      <c r="H291" s="51"/>
      <c r="I291" s="6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61"/>
      <c r="E292" s="51"/>
      <c r="F292" s="51"/>
      <c r="G292" s="51"/>
      <c r="H292" s="51"/>
      <c r="I292" s="6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61"/>
      <c r="E293" s="51"/>
      <c r="F293" s="51"/>
      <c r="G293" s="51"/>
      <c r="H293" s="51"/>
      <c r="I293" s="6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61"/>
      <c r="E294" s="51"/>
      <c r="F294" s="51"/>
      <c r="G294" s="51"/>
      <c r="H294" s="51"/>
      <c r="I294" s="6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61"/>
      <c r="E295" s="51"/>
      <c r="F295" s="51"/>
      <c r="G295" s="51"/>
      <c r="H295" s="51"/>
      <c r="I295" s="6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61"/>
      <c r="E296" s="51"/>
      <c r="F296" s="51"/>
      <c r="G296" s="51"/>
      <c r="H296" s="51"/>
      <c r="I296" s="6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61"/>
      <c r="E297" s="51"/>
      <c r="F297" s="51"/>
      <c r="G297" s="51"/>
      <c r="H297" s="51"/>
      <c r="I297" s="6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61"/>
      <c r="E298" s="51"/>
      <c r="F298" s="51"/>
      <c r="G298" s="51"/>
      <c r="H298" s="51"/>
      <c r="I298" s="6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61"/>
      <c r="E299" s="51"/>
      <c r="F299" s="51"/>
      <c r="G299" s="51"/>
      <c r="H299" s="51"/>
      <c r="I299" s="6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61"/>
      <c r="E300" s="51"/>
      <c r="F300" s="51"/>
      <c r="G300" s="51"/>
      <c r="H300" s="51"/>
      <c r="I300" s="6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61"/>
      <c r="E301" s="51"/>
      <c r="F301" s="51"/>
      <c r="G301" s="51"/>
      <c r="H301" s="51"/>
      <c r="I301" s="6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61"/>
      <c r="E302" s="51"/>
      <c r="F302" s="51"/>
      <c r="G302" s="51"/>
      <c r="H302" s="51"/>
      <c r="I302" s="6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61"/>
      <c r="E303" s="51"/>
      <c r="F303" s="51"/>
      <c r="G303" s="51"/>
      <c r="H303" s="51"/>
      <c r="I303" s="6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61"/>
      <c r="E304" s="51"/>
      <c r="F304" s="51"/>
      <c r="G304" s="51"/>
      <c r="H304" s="51"/>
      <c r="I304" s="6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61"/>
      <c r="E305" s="51"/>
      <c r="F305" s="51"/>
      <c r="G305" s="51"/>
      <c r="H305" s="51"/>
      <c r="I305" s="6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61"/>
      <c r="E306" s="51"/>
      <c r="F306" s="51"/>
      <c r="G306" s="51"/>
      <c r="H306" s="51"/>
      <c r="I306" s="6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61"/>
      <c r="E307" s="51"/>
      <c r="F307" s="51"/>
      <c r="G307" s="51"/>
      <c r="H307" s="51"/>
      <c r="I307" s="6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61"/>
      <c r="E308" s="51"/>
      <c r="F308" s="51"/>
      <c r="G308" s="51"/>
      <c r="H308" s="51"/>
      <c r="I308" s="6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61"/>
      <c r="E309" s="51"/>
      <c r="F309" s="51"/>
      <c r="G309" s="51"/>
      <c r="H309" s="51"/>
      <c r="I309" s="6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61"/>
      <c r="E310" s="51"/>
      <c r="F310" s="51"/>
      <c r="G310" s="51"/>
      <c r="H310" s="51"/>
      <c r="I310" s="6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61"/>
      <c r="E311" s="51"/>
      <c r="F311" s="51"/>
      <c r="G311" s="51"/>
      <c r="H311" s="51"/>
      <c r="I311" s="6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61"/>
      <c r="E312" s="51"/>
      <c r="F312" s="51"/>
      <c r="G312" s="51"/>
      <c r="H312" s="51"/>
      <c r="I312" s="6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61"/>
      <c r="E313" s="51"/>
      <c r="F313" s="51"/>
      <c r="G313" s="51"/>
      <c r="H313" s="51"/>
      <c r="I313" s="6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61"/>
      <c r="E314" s="51"/>
      <c r="F314" s="51"/>
      <c r="G314" s="51"/>
      <c r="H314" s="51"/>
      <c r="I314" s="6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61"/>
      <c r="E315" s="51"/>
      <c r="F315" s="51"/>
      <c r="G315" s="51"/>
      <c r="H315" s="51"/>
      <c r="I315" s="6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61"/>
      <c r="E316" s="51"/>
      <c r="F316" s="51"/>
      <c r="G316" s="51"/>
      <c r="H316" s="51"/>
      <c r="I316" s="6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61"/>
      <c r="E317" s="51"/>
      <c r="F317" s="51"/>
      <c r="G317" s="51"/>
      <c r="H317" s="51"/>
      <c r="I317" s="6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61"/>
      <c r="E318" s="51"/>
      <c r="F318" s="51"/>
      <c r="G318" s="51"/>
      <c r="H318" s="51"/>
      <c r="I318" s="6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61"/>
      <c r="E319" s="51"/>
      <c r="F319" s="51"/>
      <c r="G319" s="51"/>
      <c r="H319" s="51"/>
      <c r="I319" s="6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61"/>
      <c r="E320" s="51"/>
      <c r="F320" s="51"/>
      <c r="G320" s="51"/>
      <c r="H320" s="51"/>
      <c r="I320" s="6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61"/>
      <c r="E321" s="51"/>
      <c r="F321" s="51"/>
      <c r="G321" s="51"/>
      <c r="H321" s="51"/>
      <c r="I321" s="6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61"/>
      <c r="E322" s="51"/>
      <c r="F322" s="51"/>
      <c r="G322" s="51"/>
      <c r="H322" s="51"/>
      <c r="I322" s="6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61"/>
      <c r="E323" s="51"/>
      <c r="F323" s="51"/>
      <c r="G323" s="51"/>
      <c r="H323" s="51"/>
      <c r="I323" s="6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61"/>
      <c r="E324" s="51"/>
      <c r="F324" s="51"/>
      <c r="G324" s="51"/>
      <c r="H324" s="51"/>
      <c r="I324" s="6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61"/>
      <c r="E325" s="51"/>
      <c r="F325" s="51"/>
      <c r="G325" s="51"/>
      <c r="H325" s="51"/>
      <c r="I325" s="6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61"/>
      <c r="E326" s="51"/>
      <c r="F326" s="51"/>
      <c r="G326" s="51"/>
      <c r="H326" s="51"/>
      <c r="I326" s="6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61"/>
      <c r="E327" s="51"/>
      <c r="F327" s="51"/>
      <c r="G327" s="51"/>
      <c r="H327" s="51"/>
      <c r="I327" s="6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61"/>
      <c r="E328" s="51"/>
      <c r="F328" s="51"/>
      <c r="G328" s="51"/>
      <c r="H328" s="51"/>
      <c r="I328" s="6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61"/>
      <c r="E329" s="51"/>
      <c r="F329" s="51"/>
      <c r="G329" s="51"/>
      <c r="H329" s="51"/>
      <c r="I329" s="6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61"/>
      <c r="E330" s="51"/>
      <c r="F330" s="51"/>
      <c r="G330" s="51"/>
      <c r="H330" s="51"/>
      <c r="I330" s="6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61"/>
      <c r="E331" s="51"/>
      <c r="F331" s="51"/>
      <c r="G331" s="51"/>
      <c r="H331" s="51"/>
      <c r="I331" s="6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61"/>
      <c r="E332" s="51"/>
      <c r="F332" s="51"/>
      <c r="G332" s="51"/>
      <c r="H332" s="51"/>
      <c r="I332" s="6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61"/>
      <c r="E333" s="51"/>
      <c r="F333" s="51"/>
      <c r="G333" s="51"/>
      <c r="H333" s="51"/>
      <c r="I333" s="6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61"/>
      <c r="E334" s="51"/>
      <c r="F334" s="51"/>
      <c r="G334" s="51"/>
      <c r="H334" s="51"/>
      <c r="I334" s="6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61"/>
      <c r="E335" s="51"/>
      <c r="F335" s="51"/>
      <c r="G335" s="51"/>
      <c r="H335" s="51"/>
      <c r="I335" s="6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61"/>
      <c r="E336" s="51"/>
      <c r="F336" s="51"/>
      <c r="G336" s="51"/>
      <c r="H336" s="51"/>
      <c r="I336" s="6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61"/>
      <c r="E337" s="51"/>
      <c r="F337" s="51"/>
      <c r="G337" s="51"/>
      <c r="H337" s="51"/>
      <c r="I337" s="6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61"/>
      <c r="E338" s="51"/>
      <c r="F338" s="51"/>
      <c r="G338" s="51"/>
      <c r="H338" s="51"/>
      <c r="I338" s="6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61"/>
      <c r="E339" s="51"/>
      <c r="F339" s="51"/>
      <c r="G339" s="51"/>
      <c r="H339" s="51"/>
      <c r="I339" s="6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61"/>
      <c r="E340" s="51"/>
      <c r="F340" s="51"/>
      <c r="G340" s="51"/>
      <c r="H340" s="51"/>
      <c r="I340" s="6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61"/>
      <c r="E341" s="51"/>
      <c r="F341" s="51"/>
      <c r="G341" s="51"/>
      <c r="H341" s="51"/>
      <c r="I341" s="6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61"/>
      <c r="E342" s="51"/>
      <c r="F342" s="51"/>
      <c r="G342" s="51"/>
      <c r="H342" s="51"/>
      <c r="I342" s="6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61"/>
      <c r="E343" s="51"/>
      <c r="F343" s="51"/>
      <c r="G343" s="51"/>
      <c r="H343" s="51"/>
      <c r="I343" s="6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61"/>
      <c r="E344" s="51"/>
      <c r="F344" s="51"/>
      <c r="G344" s="51"/>
      <c r="H344" s="51"/>
      <c r="I344" s="6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61"/>
      <c r="E345" s="51"/>
      <c r="F345" s="51"/>
      <c r="G345" s="51"/>
      <c r="H345" s="51"/>
      <c r="I345" s="6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61"/>
      <c r="E346" s="51"/>
      <c r="F346" s="51"/>
      <c r="G346" s="51"/>
      <c r="H346" s="51"/>
      <c r="I346" s="6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61"/>
      <c r="E347" s="51"/>
      <c r="F347" s="51"/>
      <c r="G347" s="51"/>
      <c r="H347" s="51"/>
      <c r="I347" s="6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61"/>
      <c r="E348" s="51"/>
      <c r="F348" s="51"/>
      <c r="G348" s="51"/>
      <c r="H348" s="51"/>
      <c r="I348" s="6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61"/>
      <c r="E349" s="51"/>
      <c r="F349" s="51"/>
      <c r="G349" s="51"/>
      <c r="H349" s="51"/>
      <c r="I349" s="6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61"/>
      <c r="E350" s="51"/>
      <c r="F350" s="51"/>
      <c r="G350" s="51"/>
      <c r="H350" s="51"/>
      <c r="I350" s="6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61"/>
      <c r="E351" s="51"/>
      <c r="F351" s="51"/>
      <c r="G351" s="51"/>
      <c r="H351" s="51"/>
      <c r="I351" s="6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61"/>
      <c r="E352" s="51"/>
      <c r="F352" s="51"/>
      <c r="G352" s="51"/>
      <c r="H352" s="51"/>
      <c r="I352" s="6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61"/>
      <c r="E353" s="51"/>
      <c r="F353" s="51"/>
      <c r="G353" s="51"/>
      <c r="H353" s="51"/>
      <c r="I353" s="6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61"/>
      <c r="E354" s="51"/>
      <c r="F354" s="51"/>
      <c r="G354" s="51"/>
      <c r="H354" s="51"/>
      <c r="I354" s="6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61"/>
      <c r="E355" s="51"/>
      <c r="F355" s="51"/>
      <c r="G355" s="51"/>
      <c r="H355" s="51"/>
      <c r="I355" s="6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61"/>
      <c r="E356" s="51"/>
      <c r="F356" s="51"/>
      <c r="G356" s="51"/>
      <c r="H356" s="51"/>
      <c r="I356" s="6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61"/>
      <c r="E357" s="51"/>
      <c r="F357" s="51"/>
      <c r="G357" s="51"/>
      <c r="H357" s="51"/>
      <c r="I357" s="6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61"/>
      <c r="E358" s="51"/>
      <c r="F358" s="51"/>
      <c r="G358" s="51"/>
      <c r="H358" s="51"/>
      <c r="I358" s="6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61"/>
      <c r="E359" s="51"/>
      <c r="F359" s="51"/>
      <c r="G359" s="51"/>
      <c r="H359" s="51"/>
      <c r="I359" s="6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61"/>
      <c r="E360" s="51"/>
      <c r="F360" s="51"/>
      <c r="G360" s="51"/>
      <c r="H360" s="51"/>
      <c r="I360" s="6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61"/>
      <c r="E361" s="51"/>
      <c r="F361" s="51"/>
      <c r="G361" s="51"/>
      <c r="H361" s="51"/>
      <c r="I361" s="6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61"/>
      <c r="E362" s="51"/>
      <c r="F362" s="51"/>
      <c r="G362" s="51"/>
      <c r="H362" s="51"/>
      <c r="I362" s="6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61"/>
      <c r="E363" s="51"/>
      <c r="F363" s="51"/>
      <c r="G363" s="51"/>
      <c r="H363" s="51"/>
      <c r="I363" s="6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61"/>
      <c r="E364" s="51"/>
      <c r="F364" s="51"/>
      <c r="G364" s="51"/>
      <c r="H364" s="51"/>
      <c r="I364" s="6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61"/>
      <c r="E365" s="51"/>
      <c r="F365" s="51"/>
      <c r="G365" s="51"/>
      <c r="H365" s="51"/>
      <c r="I365" s="6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61"/>
      <c r="E366" s="51"/>
      <c r="F366" s="51"/>
      <c r="G366" s="51"/>
      <c r="H366" s="51"/>
      <c r="I366" s="6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61"/>
      <c r="E367" s="51"/>
      <c r="F367" s="51"/>
      <c r="G367" s="51"/>
      <c r="H367" s="51"/>
      <c r="I367" s="6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61"/>
      <c r="E368" s="51"/>
      <c r="F368" s="51"/>
      <c r="G368" s="51"/>
      <c r="H368" s="51"/>
      <c r="I368" s="6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61"/>
      <c r="E369" s="51"/>
      <c r="F369" s="51"/>
      <c r="G369" s="51"/>
      <c r="H369" s="51"/>
      <c r="I369" s="6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61"/>
      <c r="E370" s="51"/>
      <c r="F370" s="51"/>
      <c r="G370" s="51"/>
      <c r="H370" s="51"/>
      <c r="I370" s="6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61"/>
      <c r="E371" s="51"/>
      <c r="F371" s="51"/>
      <c r="G371" s="51"/>
      <c r="H371" s="51"/>
      <c r="I371" s="6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61"/>
      <c r="E372" s="51"/>
      <c r="F372" s="51"/>
      <c r="G372" s="51"/>
      <c r="H372" s="51"/>
      <c r="I372" s="6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61"/>
      <c r="E373" s="51"/>
      <c r="F373" s="51"/>
      <c r="G373" s="51"/>
      <c r="H373" s="51"/>
      <c r="I373" s="6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61"/>
      <c r="E374" s="51"/>
      <c r="F374" s="51"/>
      <c r="G374" s="51"/>
      <c r="H374" s="51"/>
      <c r="I374" s="6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61"/>
      <c r="E375" s="51"/>
      <c r="F375" s="51"/>
      <c r="G375" s="51"/>
      <c r="H375" s="51"/>
      <c r="I375" s="6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61"/>
      <c r="E376" s="51"/>
      <c r="F376" s="51"/>
      <c r="G376" s="51"/>
      <c r="H376" s="51"/>
      <c r="I376" s="6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61"/>
      <c r="E377" s="51"/>
      <c r="F377" s="51"/>
      <c r="G377" s="51"/>
      <c r="H377" s="51"/>
      <c r="I377" s="6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61"/>
      <c r="E378" s="51"/>
      <c r="F378" s="51"/>
      <c r="G378" s="51"/>
      <c r="H378" s="51"/>
      <c r="I378" s="6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61"/>
      <c r="E379" s="51"/>
      <c r="F379" s="51"/>
      <c r="G379" s="51"/>
      <c r="H379" s="51"/>
      <c r="I379" s="6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61"/>
      <c r="E380" s="51"/>
      <c r="F380" s="51"/>
      <c r="G380" s="51"/>
      <c r="H380" s="51"/>
      <c r="I380" s="6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61"/>
      <c r="E381" s="51"/>
      <c r="F381" s="51"/>
      <c r="G381" s="51"/>
      <c r="H381" s="51"/>
      <c r="I381" s="6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61"/>
      <c r="E382" s="51"/>
      <c r="F382" s="51"/>
      <c r="G382" s="51"/>
      <c r="H382" s="51"/>
      <c r="I382" s="6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61"/>
      <c r="E383" s="51"/>
      <c r="F383" s="51"/>
      <c r="G383" s="51"/>
      <c r="H383" s="51"/>
      <c r="I383" s="6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61"/>
      <c r="E384" s="51"/>
      <c r="F384" s="51"/>
      <c r="G384" s="51"/>
      <c r="H384" s="51"/>
      <c r="I384" s="6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61"/>
      <c r="E385" s="51"/>
      <c r="F385" s="51"/>
      <c r="G385" s="51"/>
      <c r="H385" s="51"/>
      <c r="I385" s="6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61"/>
      <c r="E386" s="51"/>
      <c r="F386" s="51"/>
      <c r="G386" s="51"/>
      <c r="H386" s="51"/>
      <c r="I386" s="6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61"/>
      <c r="E387" s="51"/>
      <c r="F387" s="51"/>
      <c r="G387" s="51"/>
      <c r="H387" s="51"/>
      <c r="I387" s="6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61"/>
      <c r="E388" s="51"/>
      <c r="F388" s="51"/>
      <c r="G388" s="51"/>
      <c r="H388" s="51"/>
      <c r="I388" s="6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61"/>
      <c r="E389" s="51"/>
      <c r="F389" s="51"/>
      <c r="G389" s="51"/>
      <c r="H389" s="51"/>
      <c r="I389" s="6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61"/>
      <c r="E390" s="51"/>
      <c r="F390" s="51"/>
      <c r="G390" s="51"/>
      <c r="H390" s="51"/>
      <c r="I390" s="6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61"/>
      <c r="E391" s="51"/>
      <c r="F391" s="51"/>
      <c r="G391" s="51"/>
      <c r="H391" s="51"/>
      <c r="I391" s="6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61"/>
      <c r="E392" s="51"/>
      <c r="F392" s="51"/>
      <c r="G392" s="51"/>
      <c r="H392" s="51"/>
      <c r="I392" s="6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61"/>
      <c r="E393" s="51"/>
      <c r="F393" s="51"/>
      <c r="G393" s="51"/>
      <c r="H393" s="51"/>
      <c r="I393" s="6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61"/>
      <c r="E394" s="51"/>
      <c r="F394" s="51"/>
      <c r="G394" s="51"/>
      <c r="H394" s="51"/>
      <c r="I394" s="6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61"/>
      <c r="E395" s="51"/>
      <c r="F395" s="51"/>
      <c r="G395" s="51"/>
      <c r="H395" s="51"/>
      <c r="I395" s="6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61"/>
      <c r="E396" s="51"/>
      <c r="F396" s="51"/>
      <c r="G396" s="51"/>
      <c r="H396" s="51"/>
      <c r="I396" s="6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61"/>
      <c r="E397" s="51"/>
      <c r="F397" s="51"/>
      <c r="G397" s="51"/>
      <c r="H397" s="51"/>
      <c r="I397" s="6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61"/>
      <c r="E398" s="51"/>
      <c r="F398" s="51"/>
      <c r="G398" s="51"/>
      <c r="H398" s="51"/>
      <c r="I398" s="6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61"/>
      <c r="E399" s="51"/>
      <c r="F399" s="51"/>
      <c r="G399" s="51"/>
      <c r="H399" s="51"/>
      <c r="I399" s="6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61"/>
      <c r="E400" s="51"/>
      <c r="F400" s="51"/>
      <c r="G400" s="51"/>
      <c r="H400" s="51"/>
      <c r="I400" s="6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61"/>
      <c r="E401" s="51"/>
      <c r="F401" s="51"/>
      <c r="G401" s="51"/>
      <c r="H401" s="51"/>
      <c r="I401" s="6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61"/>
      <c r="E402" s="51"/>
      <c r="F402" s="51"/>
      <c r="G402" s="51"/>
      <c r="H402" s="51"/>
      <c r="I402" s="6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61"/>
      <c r="E403" s="51"/>
      <c r="F403" s="51"/>
      <c r="G403" s="51"/>
      <c r="H403" s="51"/>
      <c r="I403" s="6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61"/>
      <c r="E404" s="51"/>
      <c r="F404" s="51"/>
      <c r="G404" s="51"/>
      <c r="H404" s="51"/>
      <c r="I404" s="6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61"/>
      <c r="E405" s="51"/>
      <c r="F405" s="51"/>
      <c r="G405" s="51"/>
      <c r="H405" s="51"/>
      <c r="I405" s="6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61"/>
      <c r="E406" s="51"/>
      <c r="F406" s="51"/>
      <c r="G406" s="51"/>
      <c r="H406" s="51"/>
      <c r="I406" s="6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61"/>
      <c r="E407" s="51"/>
      <c r="F407" s="51"/>
      <c r="G407" s="51"/>
      <c r="H407" s="51"/>
      <c r="I407" s="6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61"/>
      <c r="E408" s="51"/>
      <c r="F408" s="51"/>
      <c r="G408" s="51"/>
      <c r="H408" s="51"/>
      <c r="I408" s="6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61"/>
      <c r="E409" s="51"/>
      <c r="F409" s="51"/>
      <c r="G409" s="51"/>
      <c r="H409" s="51"/>
      <c r="I409" s="6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61"/>
      <c r="E410" s="51"/>
      <c r="F410" s="51"/>
      <c r="G410" s="51"/>
      <c r="H410" s="51"/>
      <c r="I410" s="6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61"/>
      <c r="E411" s="51"/>
      <c r="F411" s="51"/>
      <c r="G411" s="51"/>
      <c r="H411" s="51"/>
      <c r="I411" s="6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61"/>
      <c r="E412" s="51"/>
      <c r="F412" s="51"/>
      <c r="G412" s="51"/>
      <c r="H412" s="51"/>
      <c r="I412" s="6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61"/>
      <c r="E413" s="51"/>
      <c r="F413" s="51"/>
      <c r="G413" s="51"/>
      <c r="H413" s="51"/>
      <c r="I413" s="6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61"/>
      <c r="E414" s="51"/>
      <c r="F414" s="51"/>
      <c r="G414" s="51"/>
      <c r="H414" s="51"/>
      <c r="I414" s="6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61"/>
      <c r="E415" s="51"/>
      <c r="F415" s="51"/>
      <c r="G415" s="51"/>
      <c r="H415" s="51"/>
      <c r="I415" s="6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61"/>
      <c r="E416" s="51"/>
      <c r="F416" s="51"/>
      <c r="G416" s="51"/>
      <c r="H416" s="51"/>
      <c r="I416" s="6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61"/>
      <c r="E417" s="51"/>
      <c r="F417" s="51"/>
      <c r="G417" s="51"/>
      <c r="H417" s="51"/>
      <c r="I417" s="6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61"/>
      <c r="E418" s="51"/>
      <c r="F418" s="51"/>
      <c r="G418" s="51"/>
      <c r="H418" s="51"/>
      <c r="I418" s="6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61"/>
      <c r="E419" s="51"/>
      <c r="F419" s="51"/>
      <c r="G419" s="51"/>
      <c r="H419" s="51"/>
      <c r="I419" s="6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61"/>
      <c r="E420" s="51"/>
      <c r="F420" s="51"/>
      <c r="G420" s="51"/>
      <c r="H420" s="51"/>
      <c r="I420" s="6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61"/>
      <c r="E421" s="51"/>
      <c r="F421" s="51"/>
      <c r="G421" s="51"/>
      <c r="H421" s="51"/>
      <c r="I421" s="6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61"/>
      <c r="E422" s="51"/>
      <c r="F422" s="51"/>
      <c r="G422" s="51"/>
      <c r="H422" s="51"/>
      <c r="I422" s="6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61"/>
      <c r="E423" s="51"/>
      <c r="F423" s="51"/>
      <c r="G423" s="51"/>
      <c r="H423" s="51"/>
      <c r="I423" s="6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61"/>
      <c r="E424" s="51"/>
      <c r="F424" s="51"/>
      <c r="G424" s="51"/>
      <c r="H424" s="51"/>
      <c r="I424" s="6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61"/>
      <c r="E425" s="51"/>
      <c r="F425" s="51"/>
      <c r="G425" s="51"/>
      <c r="H425" s="51"/>
      <c r="I425" s="6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61"/>
      <c r="E426" s="51"/>
      <c r="F426" s="51"/>
      <c r="G426" s="51"/>
      <c r="H426" s="51"/>
      <c r="I426" s="6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61"/>
      <c r="E427" s="51"/>
      <c r="F427" s="51"/>
      <c r="G427" s="51"/>
      <c r="H427" s="51"/>
      <c r="I427" s="6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61"/>
      <c r="E428" s="51"/>
      <c r="F428" s="51"/>
      <c r="G428" s="51"/>
      <c r="H428" s="51"/>
      <c r="I428" s="6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61"/>
      <c r="E429" s="51"/>
      <c r="F429" s="51"/>
      <c r="G429" s="51"/>
      <c r="H429" s="51"/>
      <c r="I429" s="6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61"/>
      <c r="E430" s="51"/>
      <c r="F430" s="51"/>
      <c r="G430" s="51"/>
      <c r="H430" s="51"/>
      <c r="I430" s="6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61"/>
      <c r="E431" s="51"/>
      <c r="F431" s="51"/>
      <c r="G431" s="51"/>
      <c r="H431" s="51"/>
      <c r="I431" s="6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61"/>
      <c r="E432" s="51"/>
      <c r="F432" s="51"/>
      <c r="G432" s="51"/>
      <c r="H432" s="51"/>
      <c r="I432" s="6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61"/>
      <c r="E433" s="51"/>
      <c r="F433" s="51"/>
      <c r="G433" s="51"/>
      <c r="H433" s="51"/>
      <c r="I433" s="6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61"/>
      <c r="E434" s="51"/>
      <c r="F434" s="51"/>
      <c r="G434" s="51"/>
      <c r="H434" s="51"/>
      <c r="I434" s="6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61"/>
      <c r="E435" s="51"/>
      <c r="F435" s="51"/>
      <c r="G435" s="51"/>
      <c r="H435" s="51"/>
      <c r="I435" s="6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61"/>
      <c r="E436" s="51"/>
      <c r="F436" s="51"/>
      <c r="G436" s="51"/>
      <c r="H436" s="51"/>
      <c r="I436" s="6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61"/>
      <c r="E437" s="51"/>
      <c r="F437" s="51"/>
      <c r="G437" s="51"/>
      <c r="H437" s="51"/>
      <c r="I437" s="6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61"/>
      <c r="E438" s="51"/>
      <c r="F438" s="51"/>
      <c r="G438" s="51"/>
      <c r="H438" s="51"/>
      <c r="I438" s="6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61"/>
      <c r="E439" s="51"/>
      <c r="F439" s="51"/>
      <c r="G439" s="51"/>
      <c r="H439" s="51"/>
      <c r="I439" s="6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61"/>
      <c r="E440" s="51"/>
      <c r="F440" s="51"/>
      <c r="G440" s="51"/>
      <c r="H440" s="51"/>
      <c r="I440" s="6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61"/>
      <c r="E441" s="51"/>
      <c r="F441" s="51"/>
      <c r="G441" s="51"/>
      <c r="H441" s="51"/>
      <c r="I441" s="6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61"/>
      <c r="E442" s="51"/>
      <c r="F442" s="51"/>
      <c r="G442" s="51"/>
      <c r="H442" s="51"/>
      <c r="I442" s="6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61"/>
      <c r="E443" s="51"/>
      <c r="F443" s="51"/>
      <c r="G443" s="51"/>
      <c r="H443" s="51"/>
      <c r="I443" s="6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61"/>
      <c r="E444" s="51"/>
      <c r="F444" s="51"/>
      <c r="G444" s="51"/>
      <c r="H444" s="51"/>
      <c r="I444" s="6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61"/>
      <c r="E445" s="51"/>
      <c r="F445" s="51"/>
      <c r="G445" s="51"/>
      <c r="H445" s="51"/>
      <c r="I445" s="6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61"/>
      <c r="E446" s="51"/>
      <c r="F446" s="51"/>
      <c r="G446" s="51"/>
      <c r="H446" s="51"/>
      <c r="I446" s="6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61"/>
      <c r="E447" s="51"/>
      <c r="F447" s="51"/>
      <c r="G447" s="51"/>
      <c r="H447" s="51"/>
      <c r="I447" s="6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61"/>
      <c r="E448" s="51"/>
      <c r="F448" s="51"/>
      <c r="G448" s="51"/>
      <c r="H448" s="51"/>
      <c r="I448" s="6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61"/>
      <c r="E449" s="51"/>
      <c r="F449" s="51"/>
      <c r="G449" s="51"/>
      <c r="H449" s="51"/>
      <c r="I449" s="6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61"/>
      <c r="E450" s="51"/>
      <c r="F450" s="51"/>
      <c r="G450" s="51"/>
      <c r="H450" s="51"/>
      <c r="I450" s="6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61"/>
      <c r="E451" s="51"/>
      <c r="F451" s="51"/>
      <c r="G451" s="51"/>
      <c r="H451" s="51"/>
      <c r="I451" s="6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61"/>
      <c r="E452" s="51"/>
      <c r="F452" s="51"/>
      <c r="G452" s="51"/>
      <c r="H452" s="51"/>
      <c r="I452" s="6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61"/>
      <c r="E453" s="51"/>
      <c r="F453" s="51"/>
      <c r="G453" s="51"/>
      <c r="H453" s="51"/>
      <c r="I453" s="6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61"/>
      <c r="E454" s="51"/>
      <c r="F454" s="51"/>
      <c r="G454" s="51"/>
      <c r="H454" s="51"/>
      <c r="I454" s="6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61"/>
      <c r="E455" s="51"/>
      <c r="F455" s="51"/>
      <c r="G455" s="51"/>
      <c r="H455" s="51"/>
      <c r="I455" s="6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61"/>
      <c r="E456" s="51"/>
      <c r="F456" s="51"/>
      <c r="G456" s="51"/>
      <c r="H456" s="51"/>
      <c r="I456" s="6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61"/>
      <c r="E457" s="51"/>
      <c r="F457" s="51"/>
      <c r="G457" s="51"/>
      <c r="H457" s="51"/>
      <c r="I457" s="6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61"/>
      <c r="E458" s="51"/>
      <c r="F458" s="51"/>
      <c r="G458" s="51"/>
      <c r="H458" s="51"/>
      <c r="I458" s="6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61"/>
      <c r="E459" s="51"/>
      <c r="F459" s="51"/>
      <c r="G459" s="51"/>
      <c r="H459" s="51"/>
      <c r="I459" s="6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61"/>
      <c r="E460" s="51"/>
      <c r="F460" s="51"/>
      <c r="G460" s="51"/>
      <c r="H460" s="51"/>
      <c r="I460" s="6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61"/>
      <c r="E461" s="51"/>
      <c r="F461" s="51"/>
      <c r="G461" s="51"/>
      <c r="H461" s="51"/>
      <c r="I461" s="6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61"/>
      <c r="E462" s="51"/>
      <c r="F462" s="51"/>
      <c r="G462" s="51"/>
      <c r="H462" s="51"/>
      <c r="I462" s="6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61"/>
      <c r="E463" s="51"/>
      <c r="F463" s="51"/>
      <c r="G463" s="51"/>
      <c r="H463" s="51"/>
      <c r="I463" s="6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61"/>
      <c r="E464" s="51"/>
      <c r="F464" s="51"/>
      <c r="G464" s="51"/>
      <c r="H464" s="51"/>
      <c r="I464" s="6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61"/>
      <c r="E465" s="51"/>
      <c r="F465" s="51"/>
      <c r="G465" s="51"/>
      <c r="H465" s="51"/>
      <c r="I465" s="6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61"/>
      <c r="E466" s="51"/>
      <c r="F466" s="51"/>
      <c r="G466" s="51"/>
      <c r="H466" s="51"/>
      <c r="I466" s="6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61"/>
      <c r="E467" s="51"/>
      <c r="F467" s="51"/>
      <c r="G467" s="51"/>
      <c r="H467" s="51"/>
      <c r="I467" s="6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61"/>
      <c r="E468" s="51"/>
      <c r="F468" s="51"/>
      <c r="G468" s="51"/>
      <c r="H468" s="51"/>
      <c r="I468" s="6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61"/>
      <c r="E469" s="51"/>
      <c r="F469" s="51"/>
      <c r="G469" s="51"/>
      <c r="H469" s="51"/>
      <c r="I469" s="6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61"/>
      <c r="E470" s="51"/>
      <c r="F470" s="51"/>
      <c r="G470" s="51"/>
      <c r="H470" s="51"/>
      <c r="I470" s="6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61"/>
      <c r="E471" s="51"/>
      <c r="F471" s="51"/>
      <c r="G471" s="51"/>
      <c r="H471" s="51"/>
      <c r="I471" s="6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61"/>
      <c r="E472" s="51"/>
      <c r="F472" s="51"/>
      <c r="G472" s="51"/>
      <c r="H472" s="51"/>
      <c r="I472" s="6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61"/>
      <c r="E473" s="51"/>
      <c r="F473" s="51"/>
      <c r="G473" s="51"/>
      <c r="H473" s="51"/>
      <c r="I473" s="6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61"/>
      <c r="E474" s="51"/>
      <c r="F474" s="51"/>
      <c r="G474" s="51"/>
      <c r="H474" s="51"/>
      <c r="I474" s="6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61"/>
      <c r="E475" s="51"/>
      <c r="F475" s="51"/>
      <c r="G475" s="51"/>
      <c r="H475" s="51"/>
      <c r="I475" s="6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61"/>
      <c r="E476" s="51"/>
      <c r="F476" s="51"/>
      <c r="G476" s="51"/>
      <c r="H476" s="51"/>
      <c r="I476" s="6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61"/>
      <c r="E477" s="51"/>
      <c r="F477" s="51"/>
      <c r="G477" s="51"/>
      <c r="H477" s="51"/>
      <c r="I477" s="6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61"/>
      <c r="E478" s="51"/>
      <c r="F478" s="51"/>
      <c r="G478" s="51"/>
      <c r="H478" s="51"/>
      <c r="I478" s="6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61"/>
      <c r="E479" s="51"/>
      <c r="F479" s="51"/>
      <c r="G479" s="51"/>
      <c r="H479" s="51"/>
      <c r="I479" s="6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61"/>
      <c r="E480" s="51"/>
      <c r="F480" s="51"/>
      <c r="G480" s="51"/>
      <c r="H480" s="51"/>
      <c r="I480" s="6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61"/>
      <c r="E481" s="51"/>
      <c r="F481" s="51"/>
      <c r="G481" s="51"/>
      <c r="H481" s="51"/>
      <c r="I481" s="6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61"/>
      <c r="E482" s="51"/>
      <c r="F482" s="51"/>
      <c r="G482" s="51"/>
      <c r="H482" s="51"/>
      <c r="I482" s="6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61"/>
      <c r="E483" s="51"/>
      <c r="F483" s="51"/>
      <c r="G483" s="51"/>
      <c r="H483" s="51"/>
      <c r="I483" s="6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61"/>
      <c r="E484" s="51"/>
      <c r="F484" s="51"/>
      <c r="G484" s="51"/>
      <c r="H484" s="51"/>
      <c r="I484" s="6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61"/>
      <c r="E485" s="51"/>
      <c r="F485" s="51"/>
      <c r="G485" s="51"/>
      <c r="H485" s="51"/>
      <c r="I485" s="6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61"/>
      <c r="E486" s="51"/>
      <c r="F486" s="51"/>
      <c r="G486" s="51"/>
      <c r="H486" s="51"/>
      <c r="I486" s="6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61"/>
      <c r="E487" s="51"/>
      <c r="F487" s="51"/>
      <c r="G487" s="51"/>
      <c r="H487" s="51"/>
      <c r="I487" s="6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61"/>
      <c r="E488" s="51"/>
      <c r="F488" s="51"/>
      <c r="G488" s="51"/>
      <c r="H488" s="51"/>
      <c r="I488" s="6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61"/>
      <c r="E489" s="51"/>
      <c r="F489" s="51"/>
      <c r="G489" s="51"/>
      <c r="H489" s="51"/>
      <c r="I489" s="6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61"/>
      <c r="E490" s="51"/>
      <c r="F490" s="51"/>
      <c r="G490" s="51"/>
      <c r="H490" s="51"/>
      <c r="I490" s="6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61"/>
      <c r="E491" s="51"/>
      <c r="F491" s="51"/>
      <c r="G491" s="51"/>
      <c r="H491" s="51"/>
      <c r="I491" s="6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61"/>
      <c r="E492" s="51"/>
      <c r="F492" s="51"/>
      <c r="G492" s="51"/>
      <c r="H492" s="51"/>
      <c r="I492" s="6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61"/>
      <c r="E493" s="51"/>
      <c r="F493" s="51"/>
      <c r="G493" s="51"/>
      <c r="H493" s="51"/>
      <c r="I493" s="6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61"/>
      <c r="E494" s="51"/>
      <c r="F494" s="51"/>
      <c r="G494" s="51"/>
      <c r="H494" s="51"/>
      <c r="I494" s="6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61"/>
      <c r="E495" s="51"/>
      <c r="F495" s="51"/>
      <c r="G495" s="51"/>
      <c r="H495" s="51"/>
      <c r="I495" s="6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61"/>
      <c r="E496" s="51"/>
      <c r="F496" s="51"/>
      <c r="G496" s="51"/>
      <c r="H496" s="51"/>
      <c r="I496" s="6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61"/>
      <c r="E497" s="51"/>
      <c r="F497" s="51"/>
      <c r="G497" s="51"/>
      <c r="H497" s="51"/>
      <c r="I497" s="6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61"/>
      <c r="E498" s="51"/>
      <c r="F498" s="51"/>
      <c r="G498" s="51"/>
      <c r="H498" s="51"/>
      <c r="I498" s="6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61"/>
      <c r="E499" s="51"/>
      <c r="F499" s="51"/>
      <c r="G499" s="51"/>
      <c r="H499" s="51"/>
      <c r="I499" s="6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61"/>
      <c r="E500" s="51"/>
      <c r="F500" s="51"/>
      <c r="G500" s="51"/>
      <c r="H500" s="51"/>
      <c r="I500" s="6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61"/>
      <c r="E501" s="51"/>
      <c r="F501" s="51"/>
      <c r="G501" s="51"/>
      <c r="H501" s="51"/>
      <c r="I501" s="6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61"/>
      <c r="E502" s="51"/>
      <c r="F502" s="51"/>
      <c r="G502" s="51"/>
      <c r="H502" s="51"/>
      <c r="I502" s="6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61"/>
      <c r="E503" s="51"/>
      <c r="F503" s="51"/>
      <c r="G503" s="51"/>
      <c r="H503" s="51"/>
      <c r="I503" s="6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61"/>
      <c r="E504" s="51"/>
      <c r="F504" s="51"/>
      <c r="G504" s="51"/>
      <c r="H504" s="51"/>
      <c r="I504" s="6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61"/>
      <c r="E505" s="51"/>
      <c r="F505" s="51"/>
      <c r="G505" s="51"/>
      <c r="H505" s="51"/>
      <c r="I505" s="6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61"/>
      <c r="E506" s="51"/>
      <c r="F506" s="51"/>
      <c r="G506" s="51"/>
      <c r="H506" s="51"/>
      <c r="I506" s="6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61"/>
      <c r="E507" s="51"/>
      <c r="F507" s="51"/>
      <c r="G507" s="51"/>
      <c r="H507" s="51"/>
      <c r="I507" s="6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61"/>
      <c r="E508" s="51"/>
      <c r="F508" s="51"/>
      <c r="G508" s="51"/>
      <c r="H508" s="51"/>
      <c r="I508" s="6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61"/>
      <c r="E509" s="51"/>
      <c r="F509" s="51"/>
      <c r="G509" s="51"/>
      <c r="H509" s="51"/>
      <c r="I509" s="6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61"/>
      <c r="E510" s="51"/>
      <c r="F510" s="51"/>
      <c r="G510" s="51"/>
      <c r="H510" s="51"/>
      <c r="I510" s="6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61"/>
      <c r="E511" s="51"/>
      <c r="F511" s="51"/>
      <c r="G511" s="51"/>
      <c r="H511" s="51"/>
      <c r="I511" s="6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61"/>
      <c r="E512" s="51"/>
      <c r="F512" s="51"/>
      <c r="G512" s="51"/>
      <c r="H512" s="51"/>
      <c r="I512" s="6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61"/>
      <c r="E513" s="51"/>
      <c r="F513" s="51"/>
      <c r="G513" s="51"/>
      <c r="H513" s="51"/>
      <c r="I513" s="6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61"/>
      <c r="E514" s="51"/>
      <c r="F514" s="51"/>
      <c r="G514" s="51"/>
      <c r="H514" s="51"/>
      <c r="I514" s="6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61"/>
      <c r="E515" s="51"/>
      <c r="F515" s="51"/>
      <c r="G515" s="51"/>
      <c r="H515" s="51"/>
      <c r="I515" s="6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61"/>
      <c r="E516" s="51"/>
      <c r="F516" s="51"/>
      <c r="G516" s="51"/>
      <c r="H516" s="51"/>
      <c r="I516" s="6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61"/>
      <c r="E517" s="51"/>
      <c r="F517" s="51"/>
      <c r="G517" s="51"/>
      <c r="H517" s="51"/>
      <c r="I517" s="6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61"/>
      <c r="E518" s="51"/>
      <c r="F518" s="51"/>
      <c r="G518" s="51"/>
      <c r="H518" s="51"/>
      <c r="I518" s="6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61"/>
      <c r="E519" s="51"/>
      <c r="F519" s="51"/>
      <c r="G519" s="51"/>
      <c r="H519" s="51"/>
      <c r="I519" s="6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61"/>
      <c r="E520" s="51"/>
      <c r="F520" s="51"/>
      <c r="G520" s="51"/>
      <c r="H520" s="51"/>
      <c r="I520" s="6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61"/>
      <c r="E521" s="51"/>
      <c r="F521" s="51"/>
      <c r="G521" s="51"/>
      <c r="H521" s="51"/>
      <c r="I521" s="6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61"/>
      <c r="E522" s="51"/>
      <c r="F522" s="51"/>
      <c r="G522" s="51"/>
      <c r="H522" s="51"/>
      <c r="I522" s="6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61"/>
      <c r="E523" s="51"/>
      <c r="F523" s="51"/>
      <c r="G523" s="51"/>
      <c r="H523" s="51"/>
      <c r="I523" s="6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61"/>
      <c r="E524" s="51"/>
      <c r="F524" s="51"/>
      <c r="G524" s="51"/>
      <c r="H524" s="51"/>
      <c r="I524" s="6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61"/>
      <c r="E525" s="51"/>
      <c r="F525" s="51"/>
      <c r="G525" s="51"/>
      <c r="H525" s="51"/>
      <c r="I525" s="6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61"/>
      <c r="E526" s="51"/>
      <c r="F526" s="51"/>
      <c r="G526" s="51"/>
      <c r="H526" s="51"/>
      <c r="I526" s="6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61"/>
      <c r="E527" s="51"/>
      <c r="F527" s="51"/>
      <c r="G527" s="51"/>
      <c r="H527" s="51"/>
      <c r="I527" s="6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61"/>
      <c r="E528" s="51"/>
      <c r="F528" s="51"/>
      <c r="G528" s="51"/>
      <c r="H528" s="51"/>
      <c r="I528" s="6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61"/>
      <c r="E529" s="51"/>
      <c r="F529" s="51"/>
      <c r="G529" s="51"/>
      <c r="H529" s="51"/>
      <c r="I529" s="6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61"/>
      <c r="E530" s="51"/>
      <c r="F530" s="51"/>
      <c r="G530" s="51"/>
      <c r="H530" s="51"/>
      <c r="I530" s="6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61"/>
      <c r="E531" s="51"/>
      <c r="F531" s="51"/>
      <c r="G531" s="51"/>
      <c r="H531" s="51"/>
      <c r="I531" s="6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61"/>
      <c r="E532" s="51"/>
      <c r="F532" s="51"/>
      <c r="G532" s="51"/>
      <c r="H532" s="51"/>
      <c r="I532" s="6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61"/>
      <c r="E533" s="51"/>
      <c r="F533" s="51"/>
      <c r="G533" s="51"/>
      <c r="H533" s="51"/>
      <c r="I533" s="6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61"/>
      <c r="E534" s="51"/>
      <c r="F534" s="51"/>
      <c r="G534" s="51"/>
      <c r="H534" s="51"/>
      <c r="I534" s="6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61"/>
      <c r="E535" s="51"/>
      <c r="F535" s="51"/>
      <c r="G535" s="51"/>
      <c r="H535" s="51"/>
      <c r="I535" s="6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61"/>
      <c r="E536" s="51"/>
      <c r="F536" s="51"/>
      <c r="G536" s="51"/>
      <c r="H536" s="51"/>
      <c r="I536" s="6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61"/>
      <c r="E537" s="51"/>
      <c r="F537" s="51"/>
      <c r="G537" s="51"/>
      <c r="H537" s="51"/>
      <c r="I537" s="6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61"/>
      <c r="E538" s="51"/>
      <c r="F538" s="51"/>
      <c r="G538" s="51"/>
      <c r="H538" s="51"/>
      <c r="I538" s="6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61"/>
      <c r="E539" s="51"/>
      <c r="F539" s="51"/>
      <c r="G539" s="51"/>
      <c r="H539" s="51"/>
      <c r="I539" s="6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61"/>
      <c r="E540" s="51"/>
      <c r="F540" s="51"/>
      <c r="G540" s="51"/>
      <c r="H540" s="51"/>
      <c r="I540" s="6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61"/>
      <c r="E541" s="51"/>
      <c r="F541" s="51"/>
      <c r="G541" s="51"/>
      <c r="H541" s="51"/>
      <c r="I541" s="6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61"/>
      <c r="E542" s="51"/>
      <c r="F542" s="51"/>
      <c r="G542" s="51"/>
      <c r="H542" s="51"/>
      <c r="I542" s="6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61"/>
      <c r="E543" s="51"/>
      <c r="F543" s="51"/>
      <c r="G543" s="51"/>
      <c r="H543" s="51"/>
      <c r="I543" s="6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61"/>
      <c r="E544" s="51"/>
      <c r="F544" s="51"/>
      <c r="G544" s="51"/>
      <c r="H544" s="51"/>
      <c r="I544" s="6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61"/>
      <c r="E545" s="51"/>
      <c r="F545" s="51"/>
      <c r="G545" s="51"/>
      <c r="H545" s="51"/>
      <c r="I545" s="6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61"/>
      <c r="E546" s="51"/>
      <c r="F546" s="51"/>
      <c r="G546" s="51"/>
      <c r="H546" s="51"/>
      <c r="I546" s="6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61"/>
      <c r="E547" s="51"/>
      <c r="F547" s="51"/>
      <c r="G547" s="51"/>
      <c r="H547" s="51"/>
      <c r="I547" s="6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61"/>
      <c r="E548" s="51"/>
      <c r="F548" s="51"/>
      <c r="G548" s="51"/>
      <c r="H548" s="51"/>
      <c r="I548" s="6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61"/>
      <c r="E549" s="51"/>
      <c r="F549" s="51"/>
      <c r="G549" s="51"/>
      <c r="H549" s="51"/>
      <c r="I549" s="6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61"/>
      <c r="E550" s="51"/>
      <c r="F550" s="51"/>
      <c r="G550" s="51"/>
      <c r="H550" s="51"/>
      <c r="I550" s="6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61"/>
      <c r="E551" s="51"/>
      <c r="F551" s="51"/>
      <c r="G551" s="51"/>
      <c r="H551" s="51"/>
      <c r="I551" s="6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61"/>
      <c r="E552" s="51"/>
      <c r="F552" s="51"/>
      <c r="G552" s="51"/>
      <c r="H552" s="51"/>
      <c r="I552" s="6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61"/>
      <c r="E553" s="51"/>
      <c r="F553" s="51"/>
      <c r="G553" s="51"/>
      <c r="H553" s="51"/>
      <c r="I553" s="6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61"/>
      <c r="E554" s="51"/>
      <c r="F554" s="51"/>
      <c r="G554" s="51"/>
      <c r="H554" s="51"/>
      <c r="I554" s="6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61"/>
      <c r="E555" s="51"/>
      <c r="F555" s="51"/>
      <c r="G555" s="51"/>
      <c r="H555" s="51"/>
      <c r="I555" s="6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61"/>
      <c r="E556" s="51"/>
      <c r="F556" s="51"/>
      <c r="G556" s="51"/>
      <c r="H556" s="51"/>
      <c r="I556" s="6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61"/>
      <c r="E557" s="51"/>
      <c r="F557" s="51"/>
      <c r="G557" s="51"/>
      <c r="H557" s="51"/>
      <c r="I557" s="6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61"/>
      <c r="E558" s="51"/>
      <c r="F558" s="51"/>
      <c r="G558" s="51"/>
      <c r="H558" s="51"/>
      <c r="I558" s="6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61"/>
      <c r="E559" s="51"/>
      <c r="F559" s="51"/>
      <c r="G559" s="51"/>
      <c r="H559" s="51"/>
      <c r="I559" s="6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61"/>
      <c r="E560" s="51"/>
      <c r="F560" s="51"/>
      <c r="G560" s="51"/>
      <c r="H560" s="51"/>
      <c r="I560" s="6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61"/>
      <c r="E561" s="51"/>
      <c r="F561" s="51"/>
      <c r="G561" s="51"/>
      <c r="H561" s="51"/>
      <c r="I561" s="6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61"/>
      <c r="E562" s="51"/>
      <c r="F562" s="51"/>
      <c r="G562" s="51"/>
      <c r="H562" s="51"/>
      <c r="I562" s="6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61"/>
      <c r="E563" s="51"/>
      <c r="F563" s="51"/>
      <c r="G563" s="51"/>
      <c r="H563" s="51"/>
      <c r="I563" s="6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61"/>
      <c r="E564" s="51"/>
      <c r="F564" s="51"/>
      <c r="G564" s="51"/>
      <c r="H564" s="51"/>
      <c r="I564" s="6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61"/>
      <c r="E565" s="51"/>
      <c r="F565" s="51"/>
      <c r="G565" s="51"/>
      <c r="H565" s="51"/>
      <c r="I565" s="6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61"/>
      <c r="E566" s="51"/>
      <c r="F566" s="51"/>
      <c r="G566" s="51"/>
      <c r="H566" s="51"/>
      <c r="I566" s="6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61"/>
      <c r="E567" s="51"/>
      <c r="F567" s="51"/>
      <c r="G567" s="51"/>
      <c r="H567" s="51"/>
      <c r="I567" s="6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61"/>
      <c r="E568" s="51"/>
      <c r="F568" s="51"/>
      <c r="G568" s="51"/>
      <c r="H568" s="51"/>
      <c r="I568" s="6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61"/>
      <c r="E569" s="51"/>
      <c r="F569" s="51"/>
      <c r="G569" s="51"/>
      <c r="H569" s="51"/>
      <c r="I569" s="6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61"/>
      <c r="E570" s="51"/>
      <c r="F570" s="51"/>
      <c r="G570" s="51"/>
      <c r="H570" s="51"/>
      <c r="I570" s="6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61"/>
      <c r="E571" s="51"/>
      <c r="F571" s="51"/>
      <c r="G571" s="51"/>
      <c r="H571" s="51"/>
      <c r="I571" s="6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61"/>
      <c r="E572" s="51"/>
      <c r="F572" s="51"/>
      <c r="G572" s="51"/>
      <c r="H572" s="51"/>
      <c r="I572" s="6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61"/>
      <c r="E573" s="51"/>
      <c r="F573" s="51"/>
      <c r="G573" s="51"/>
      <c r="H573" s="51"/>
      <c r="I573" s="6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61"/>
      <c r="E574" s="51"/>
      <c r="F574" s="51"/>
      <c r="G574" s="51"/>
      <c r="H574" s="51"/>
      <c r="I574" s="6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61"/>
      <c r="E575" s="51"/>
      <c r="F575" s="51"/>
      <c r="G575" s="51"/>
      <c r="H575" s="51"/>
      <c r="I575" s="6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61"/>
      <c r="E576" s="51"/>
      <c r="F576" s="51"/>
      <c r="G576" s="51"/>
      <c r="H576" s="51"/>
      <c r="I576" s="6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61"/>
      <c r="E577" s="51"/>
      <c r="F577" s="51"/>
      <c r="G577" s="51"/>
      <c r="H577" s="51"/>
      <c r="I577" s="6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61"/>
      <c r="E578" s="51"/>
      <c r="F578" s="51"/>
      <c r="G578" s="51"/>
      <c r="H578" s="51"/>
      <c r="I578" s="6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61"/>
      <c r="E579" s="51"/>
      <c r="F579" s="51"/>
      <c r="G579" s="51"/>
      <c r="H579" s="51"/>
      <c r="I579" s="6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61"/>
      <c r="E580" s="51"/>
      <c r="F580" s="51"/>
      <c r="G580" s="51"/>
      <c r="H580" s="51"/>
      <c r="I580" s="6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61"/>
      <c r="E581" s="51"/>
      <c r="F581" s="51"/>
      <c r="G581" s="51"/>
      <c r="H581" s="51"/>
      <c r="I581" s="6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61"/>
      <c r="E582" s="51"/>
      <c r="F582" s="51"/>
      <c r="G582" s="51"/>
      <c r="H582" s="51"/>
      <c r="I582" s="6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61"/>
      <c r="E583" s="51"/>
      <c r="F583" s="51"/>
      <c r="G583" s="51"/>
      <c r="H583" s="51"/>
      <c r="I583" s="6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61"/>
      <c r="E584" s="51"/>
      <c r="F584" s="51"/>
      <c r="G584" s="51"/>
      <c r="H584" s="51"/>
      <c r="I584" s="6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61"/>
      <c r="E585" s="51"/>
      <c r="F585" s="51"/>
      <c r="G585" s="51"/>
      <c r="H585" s="51"/>
      <c r="I585" s="6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61"/>
      <c r="E586" s="51"/>
      <c r="F586" s="51"/>
      <c r="G586" s="51"/>
      <c r="H586" s="51"/>
      <c r="I586" s="6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61"/>
      <c r="E587" s="51"/>
      <c r="F587" s="51"/>
      <c r="G587" s="51"/>
      <c r="H587" s="51"/>
      <c r="I587" s="6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61"/>
      <c r="E588" s="51"/>
      <c r="F588" s="51"/>
      <c r="G588" s="51"/>
      <c r="H588" s="51"/>
      <c r="I588" s="6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61"/>
      <c r="E589" s="51"/>
      <c r="F589" s="51"/>
      <c r="G589" s="51"/>
      <c r="H589" s="51"/>
      <c r="I589" s="6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61"/>
      <c r="E590" s="51"/>
      <c r="F590" s="51"/>
      <c r="G590" s="51"/>
      <c r="H590" s="51"/>
      <c r="I590" s="6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61"/>
      <c r="E591" s="51"/>
      <c r="F591" s="51"/>
      <c r="G591" s="51"/>
      <c r="H591" s="51"/>
      <c r="I591" s="6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61"/>
      <c r="E592" s="51"/>
      <c r="F592" s="51"/>
      <c r="G592" s="51"/>
      <c r="H592" s="51"/>
      <c r="I592" s="6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61"/>
      <c r="E593" s="51"/>
      <c r="F593" s="51"/>
      <c r="G593" s="51"/>
      <c r="H593" s="51"/>
      <c r="I593" s="6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61"/>
      <c r="E594" s="51"/>
      <c r="F594" s="51"/>
      <c r="G594" s="51"/>
      <c r="H594" s="51"/>
      <c r="I594" s="6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61"/>
      <c r="E595" s="51"/>
      <c r="F595" s="51"/>
      <c r="G595" s="51"/>
      <c r="H595" s="51"/>
      <c r="I595" s="6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61"/>
      <c r="E596" s="51"/>
      <c r="F596" s="51"/>
      <c r="G596" s="51"/>
      <c r="H596" s="51"/>
      <c r="I596" s="6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61"/>
      <c r="E597" s="51"/>
      <c r="F597" s="51"/>
      <c r="G597" s="51"/>
      <c r="H597" s="51"/>
      <c r="I597" s="6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61"/>
      <c r="E598" s="51"/>
      <c r="F598" s="51"/>
      <c r="G598" s="51"/>
      <c r="H598" s="51"/>
      <c r="I598" s="6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61"/>
      <c r="E599" s="51"/>
      <c r="F599" s="51"/>
      <c r="G599" s="51"/>
      <c r="H599" s="51"/>
      <c r="I599" s="6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61"/>
      <c r="E600" s="51"/>
      <c r="F600" s="51"/>
      <c r="G600" s="51"/>
      <c r="H600" s="51"/>
      <c r="I600" s="6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61"/>
      <c r="E601" s="51"/>
      <c r="F601" s="51"/>
      <c r="G601" s="51"/>
      <c r="H601" s="51"/>
      <c r="I601" s="6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61"/>
      <c r="E602" s="51"/>
      <c r="F602" s="51"/>
      <c r="G602" s="51"/>
      <c r="H602" s="51"/>
      <c r="I602" s="6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61"/>
      <c r="E603" s="51"/>
      <c r="F603" s="51"/>
      <c r="G603" s="51"/>
      <c r="H603" s="51"/>
      <c r="I603" s="6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61"/>
      <c r="E604" s="51"/>
      <c r="F604" s="51"/>
      <c r="G604" s="51"/>
      <c r="H604" s="51"/>
      <c r="I604" s="6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61"/>
      <c r="E605" s="51"/>
      <c r="F605" s="51"/>
      <c r="G605" s="51"/>
      <c r="H605" s="51"/>
      <c r="I605" s="6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61"/>
      <c r="E606" s="51"/>
      <c r="F606" s="51"/>
      <c r="G606" s="51"/>
      <c r="H606" s="51"/>
      <c r="I606" s="6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61"/>
      <c r="E607" s="51"/>
      <c r="F607" s="51"/>
      <c r="G607" s="51"/>
      <c r="H607" s="51"/>
      <c r="I607" s="6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61"/>
      <c r="E608" s="51"/>
      <c r="F608" s="51"/>
      <c r="G608" s="51"/>
      <c r="H608" s="51"/>
      <c r="I608" s="6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61"/>
      <c r="E609" s="51"/>
      <c r="F609" s="51"/>
      <c r="G609" s="51"/>
      <c r="H609" s="51"/>
      <c r="I609" s="6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61"/>
      <c r="E610" s="51"/>
      <c r="F610" s="51"/>
      <c r="G610" s="51"/>
      <c r="H610" s="51"/>
      <c r="I610" s="6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61"/>
      <c r="E611" s="51"/>
      <c r="F611" s="51"/>
      <c r="G611" s="51"/>
      <c r="H611" s="51"/>
      <c r="I611" s="6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61"/>
      <c r="E612" s="51"/>
      <c r="F612" s="51"/>
      <c r="G612" s="51"/>
      <c r="H612" s="51"/>
      <c r="I612" s="6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61"/>
      <c r="E613" s="51"/>
      <c r="F613" s="51"/>
      <c r="G613" s="51"/>
      <c r="H613" s="51"/>
      <c r="I613" s="6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61"/>
      <c r="E614" s="51"/>
      <c r="F614" s="51"/>
      <c r="G614" s="51"/>
      <c r="H614" s="51"/>
      <c r="I614" s="6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61"/>
      <c r="E615" s="51"/>
      <c r="F615" s="51"/>
      <c r="G615" s="51"/>
      <c r="H615" s="51"/>
      <c r="I615" s="6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61"/>
      <c r="E616" s="51"/>
      <c r="F616" s="51"/>
      <c r="G616" s="51"/>
      <c r="H616" s="51"/>
      <c r="I616" s="6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61"/>
      <c r="E617" s="51"/>
      <c r="F617" s="51"/>
      <c r="G617" s="51"/>
      <c r="H617" s="51"/>
      <c r="I617" s="6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61"/>
      <c r="E618" s="51"/>
      <c r="F618" s="51"/>
      <c r="G618" s="51"/>
      <c r="H618" s="51"/>
      <c r="I618" s="6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61"/>
      <c r="E619" s="51"/>
      <c r="F619" s="51"/>
      <c r="G619" s="51"/>
      <c r="H619" s="51"/>
      <c r="I619" s="6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61"/>
      <c r="E620" s="51"/>
      <c r="F620" s="51"/>
      <c r="G620" s="51"/>
      <c r="H620" s="51"/>
      <c r="I620" s="6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61"/>
      <c r="E621" s="51"/>
      <c r="F621" s="51"/>
      <c r="G621" s="51"/>
      <c r="H621" s="51"/>
      <c r="I621" s="6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61"/>
      <c r="E622" s="51"/>
      <c r="F622" s="51"/>
      <c r="G622" s="51"/>
      <c r="H622" s="51"/>
      <c r="I622" s="6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61"/>
      <c r="E623" s="51"/>
      <c r="F623" s="51"/>
      <c r="G623" s="51"/>
      <c r="H623" s="51"/>
      <c r="I623" s="6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61"/>
      <c r="E624" s="51"/>
      <c r="F624" s="51"/>
      <c r="G624" s="51"/>
      <c r="H624" s="51"/>
      <c r="I624" s="6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61"/>
      <c r="E625" s="51"/>
      <c r="F625" s="51"/>
      <c r="G625" s="51"/>
      <c r="H625" s="51"/>
      <c r="I625" s="6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61"/>
      <c r="E626" s="51"/>
      <c r="F626" s="51"/>
      <c r="G626" s="51"/>
      <c r="H626" s="51"/>
      <c r="I626" s="6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61"/>
      <c r="E627" s="51"/>
      <c r="F627" s="51"/>
      <c r="G627" s="51"/>
      <c r="H627" s="51"/>
      <c r="I627" s="6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61"/>
      <c r="E628" s="51"/>
      <c r="F628" s="51"/>
      <c r="G628" s="51"/>
      <c r="H628" s="51"/>
      <c r="I628" s="6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61"/>
      <c r="E629" s="51"/>
      <c r="F629" s="51"/>
      <c r="G629" s="51"/>
      <c r="H629" s="51"/>
      <c r="I629" s="6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61"/>
      <c r="E630" s="51"/>
      <c r="F630" s="51"/>
      <c r="G630" s="51"/>
      <c r="H630" s="51"/>
      <c r="I630" s="6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61"/>
      <c r="E631" s="51"/>
      <c r="F631" s="51"/>
      <c r="G631" s="51"/>
      <c r="H631" s="51"/>
      <c r="I631" s="6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61"/>
      <c r="E632" s="51"/>
      <c r="F632" s="51"/>
      <c r="G632" s="51"/>
      <c r="H632" s="51"/>
      <c r="I632" s="6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61"/>
      <c r="E633" s="51"/>
      <c r="F633" s="51"/>
      <c r="G633" s="51"/>
      <c r="H633" s="51"/>
      <c r="I633" s="6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61"/>
      <c r="E634" s="51"/>
      <c r="F634" s="51"/>
      <c r="G634" s="51"/>
      <c r="H634" s="51"/>
      <c r="I634" s="6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61"/>
      <c r="E635" s="51"/>
      <c r="F635" s="51"/>
      <c r="G635" s="51"/>
      <c r="H635" s="51"/>
      <c r="I635" s="6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61"/>
      <c r="E636" s="51"/>
      <c r="F636" s="51"/>
      <c r="G636" s="51"/>
      <c r="H636" s="51"/>
      <c r="I636" s="6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61"/>
      <c r="E637" s="51"/>
      <c r="F637" s="51"/>
      <c r="G637" s="51"/>
      <c r="H637" s="51"/>
      <c r="I637" s="6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61"/>
      <c r="E638" s="51"/>
      <c r="F638" s="51"/>
      <c r="G638" s="51"/>
      <c r="H638" s="51"/>
      <c r="I638" s="6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61"/>
      <c r="E639" s="51"/>
      <c r="F639" s="51"/>
      <c r="G639" s="51"/>
      <c r="H639" s="51"/>
      <c r="I639" s="6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61"/>
      <c r="E640" s="51"/>
      <c r="F640" s="51"/>
      <c r="G640" s="51"/>
      <c r="H640" s="51"/>
      <c r="I640" s="6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61"/>
      <c r="E641" s="51"/>
      <c r="F641" s="51"/>
      <c r="G641" s="51"/>
      <c r="H641" s="51"/>
      <c r="I641" s="6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61"/>
      <c r="E642" s="51"/>
      <c r="F642" s="51"/>
      <c r="G642" s="51"/>
      <c r="H642" s="51"/>
      <c r="I642" s="6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61"/>
      <c r="E643" s="51"/>
      <c r="F643" s="51"/>
      <c r="G643" s="51"/>
      <c r="H643" s="51"/>
      <c r="I643" s="6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61"/>
      <c r="E644" s="51"/>
      <c r="F644" s="51"/>
      <c r="G644" s="51"/>
      <c r="H644" s="51"/>
      <c r="I644" s="6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61"/>
      <c r="E645" s="51"/>
      <c r="F645" s="51"/>
      <c r="G645" s="51"/>
      <c r="H645" s="51"/>
      <c r="I645" s="6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61"/>
      <c r="E646" s="51"/>
      <c r="F646" s="51"/>
      <c r="G646" s="51"/>
      <c r="H646" s="51"/>
      <c r="I646" s="6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61"/>
      <c r="E647" s="51"/>
      <c r="F647" s="51"/>
      <c r="G647" s="51"/>
      <c r="H647" s="51"/>
      <c r="I647" s="6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61"/>
      <c r="E648" s="51"/>
      <c r="F648" s="51"/>
      <c r="G648" s="51"/>
      <c r="H648" s="51"/>
      <c r="I648" s="6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61"/>
      <c r="E649" s="51"/>
      <c r="F649" s="51"/>
      <c r="G649" s="51"/>
      <c r="H649" s="51"/>
      <c r="I649" s="6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61"/>
      <c r="E650" s="51"/>
      <c r="F650" s="51"/>
      <c r="G650" s="51"/>
      <c r="H650" s="51"/>
      <c r="I650" s="6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61"/>
      <c r="E651" s="51"/>
      <c r="F651" s="51"/>
      <c r="G651" s="51"/>
      <c r="H651" s="51"/>
      <c r="I651" s="6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61"/>
      <c r="E652" s="51"/>
      <c r="F652" s="51"/>
      <c r="G652" s="51"/>
      <c r="H652" s="51"/>
      <c r="I652" s="6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61"/>
      <c r="E653" s="51"/>
      <c r="F653" s="51"/>
      <c r="G653" s="51"/>
      <c r="H653" s="51"/>
      <c r="I653" s="6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61"/>
      <c r="E654" s="51"/>
      <c r="F654" s="51"/>
      <c r="G654" s="51"/>
      <c r="H654" s="51"/>
      <c r="I654" s="6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61"/>
      <c r="E655" s="51"/>
      <c r="F655" s="51"/>
      <c r="G655" s="51"/>
      <c r="H655" s="51"/>
      <c r="I655" s="6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61"/>
      <c r="E656" s="51"/>
      <c r="F656" s="51"/>
      <c r="G656" s="51"/>
      <c r="H656" s="51"/>
      <c r="I656" s="6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61"/>
      <c r="E657" s="51"/>
      <c r="F657" s="51"/>
      <c r="G657" s="51"/>
      <c r="H657" s="51"/>
      <c r="I657" s="6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61"/>
      <c r="E658" s="51"/>
      <c r="F658" s="51"/>
      <c r="G658" s="51"/>
      <c r="H658" s="51"/>
      <c r="I658" s="6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61"/>
      <c r="E659" s="51"/>
      <c r="F659" s="51"/>
      <c r="G659" s="51"/>
      <c r="H659" s="51"/>
      <c r="I659" s="6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61"/>
      <c r="E660" s="51"/>
      <c r="F660" s="51"/>
      <c r="G660" s="51"/>
      <c r="H660" s="51"/>
      <c r="I660" s="6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61"/>
      <c r="E661" s="51"/>
      <c r="F661" s="51"/>
      <c r="G661" s="51"/>
      <c r="H661" s="51"/>
      <c r="I661" s="6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61"/>
      <c r="E662" s="51"/>
      <c r="F662" s="51"/>
      <c r="G662" s="51"/>
      <c r="H662" s="51"/>
      <c r="I662" s="6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61"/>
      <c r="E663" s="51"/>
      <c r="F663" s="51"/>
      <c r="G663" s="51"/>
      <c r="H663" s="51"/>
      <c r="I663" s="6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61"/>
      <c r="E664" s="51"/>
      <c r="F664" s="51"/>
      <c r="G664" s="51"/>
      <c r="H664" s="51"/>
      <c r="I664" s="6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61"/>
      <c r="E665" s="51"/>
      <c r="F665" s="51"/>
      <c r="G665" s="51"/>
      <c r="H665" s="51"/>
      <c r="I665" s="6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61"/>
      <c r="E666" s="51"/>
      <c r="F666" s="51"/>
      <c r="G666" s="51"/>
      <c r="H666" s="51"/>
      <c r="I666" s="6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61"/>
      <c r="E667" s="51"/>
      <c r="F667" s="51"/>
      <c r="G667" s="51"/>
      <c r="H667" s="51"/>
      <c r="I667" s="6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61"/>
      <c r="E668" s="51"/>
      <c r="F668" s="51"/>
      <c r="G668" s="51"/>
      <c r="H668" s="51"/>
      <c r="I668" s="6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61"/>
      <c r="E669" s="51"/>
      <c r="F669" s="51"/>
      <c r="G669" s="51"/>
      <c r="H669" s="51"/>
      <c r="I669" s="6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61"/>
      <c r="E670" s="51"/>
      <c r="F670" s="51"/>
      <c r="G670" s="51"/>
      <c r="H670" s="51"/>
      <c r="I670" s="6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61"/>
      <c r="E671" s="51"/>
      <c r="F671" s="51"/>
      <c r="G671" s="51"/>
      <c r="H671" s="51"/>
      <c r="I671" s="6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61"/>
      <c r="E672" s="51"/>
      <c r="F672" s="51"/>
      <c r="G672" s="51"/>
      <c r="H672" s="51"/>
      <c r="I672" s="6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61"/>
      <c r="E673" s="51"/>
      <c r="F673" s="51"/>
      <c r="G673" s="51"/>
      <c r="H673" s="51"/>
      <c r="I673" s="6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61"/>
      <c r="E674" s="51"/>
      <c r="F674" s="51"/>
      <c r="G674" s="51"/>
      <c r="H674" s="51"/>
      <c r="I674" s="6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61"/>
      <c r="E675" s="51"/>
      <c r="F675" s="51"/>
      <c r="G675" s="51"/>
      <c r="H675" s="51"/>
      <c r="I675" s="6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61"/>
      <c r="E676" s="51"/>
      <c r="F676" s="51"/>
      <c r="G676" s="51"/>
      <c r="H676" s="51"/>
      <c r="I676" s="6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61"/>
      <c r="E677" s="51"/>
      <c r="F677" s="51"/>
      <c r="G677" s="51"/>
      <c r="H677" s="51"/>
      <c r="I677" s="6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61"/>
      <c r="E678" s="51"/>
      <c r="F678" s="51"/>
      <c r="G678" s="51"/>
      <c r="H678" s="51"/>
      <c r="I678" s="6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61"/>
      <c r="E679" s="51"/>
      <c r="F679" s="51"/>
      <c r="G679" s="51"/>
      <c r="H679" s="51"/>
      <c r="I679" s="6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61"/>
      <c r="E680" s="51"/>
      <c r="F680" s="51"/>
      <c r="G680" s="51"/>
      <c r="H680" s="51"/>
      <c r="I680" s="6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61"/>
      <c r="E681" s="51"/>
      <c r="F681" s="51"/>
      <c r="G681" s="51"/>
      <c r="H681" s="51"/>
      <c r="I681" s="6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61"/>
      <c r="E682" s="51"/>
      <c r="F682" s="51"/>
      <c r="G682" s="51"/>
      <c r="H682" s="51"/>
      <c r="I682" s="6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61"/>
      <c r="E683" s="51"/>
      <c r="F683" s="51"/>
      <c r="G683" s="51"/>
      <c r="H683" s="51"/>
      <c r="I683" s="6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61"/>
      <c r="E684" s="51"/>
      <c r="F684" s="51"/>
      <c r="G684" s="51"/>
      <c r="H684" s="51"/>
      <c r="I684" s="6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61"/>
      <c r="E685" s="51"/>
      <c r="F685" s="51"/>
      <c r="G685" s="51"/>
      <c r="H685" s="51"/>
      <c r="I685" s="6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61"/>
      <c r="E686" s="51"/>
      <c r="F686" s="51"/>
      <c r="G686" s="51"/>
      <c r="H686" s="51"/>
      <c r="I686" s="6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61"/>
      <c r="E687" s="51"/>
      <c r="F687" s="51"/>
      <c r="G687" s="51"/>
      <c r="H687" s="51"/>
      <c r="I687" s="6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61"/>
      <c r="E688" s="51"/>
      <c r="F688" s="51"/>
      <c r="G688" s="51"/>
      <c r="H688" s="51"/>
      <c r="I688" s="6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61"/>
      <c r="E689" s="51"/>
      <c r="F689" s="51"/>
      <c r="G689" s="51"/>
      <c r="H689" s="51"/>
      <c r="I689" s="6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61"/>
      <c r="E690" s="51"/>
      <c r="F690" s="51"/>
      <c r="G690" s="51"/>
      <c r="H690" s="51"/>
      <c r="I690" s="6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61"/>
      <c r="E691" s="51"/>
      <c r="F691" s="51"/>
      <c r="G691" s="51"/>
      <c r="H691" s="51"/>
      <c r="I691" s="6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61"/>
      <c r="E692" s="51"/>
      <c r="F692" s="51"/>
      <c r="G692" s="51"/>
      <c r="H692" s="51"/>
      <c r="I692" s="6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61"/>
      <c r="E693" s="51"/>
      <c r="F693" s="51"/>
      <c r="G693" s="51"/>
      <c r="H693" s="51"/>
      <c r="I693" s="6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61"/>
      <c r="E694" s="51"/>
      <c r="F694" s="51"/>
      <c r="G694" s="51"/>
      <c r="H694" s="51"/>
      <c r="I694" s="6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61"/>
      <c r="E695" s="51"/>
      <c r="F695" s="51"/>
      <c r="G695" s="51"/>
      <c r="H695" s="51"/>
      <c r="I695" s="6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61"/>
      <c r="E696" s="51"/>
      <c r="F696" s="51"/>
      <c r="G696" s="51"/>
      <c r="H696" s="51"/>
      <c r="I696" s="6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61"/>
      <c r="E697" s="51"/>
      <c r="F697" s="51"/>
      <c r="G697" s="51"/>
      <c r="H697" s="51"/>
      <c r="I697" s="6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61"/>
      <c r="E698" s="51"/>
      <c r="F698" s="51"/>
      <c r="G698" s="51"/>
      <c r="H698" s="51"/>
      <c r="I698" s="6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61"/>
      <c r="E699" s="51"/>
      <c r="F699" s="51"/>
      <c r="G699" s="51"/>
      <c r="H699" s="51"/>
      <c r="I699" s="6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61"/>
      <c r="E700" s="51"/>
      <c r="F700" s="51"/>
      <c r="G700" s="51"/>
      <c r="H700" s="51"/>
      <c r="I700" s="6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61"/>
      <c r="E701" s="51"/>
      <c r="F701" s="51"/>
      <c r="G701" s="51"/>
      <c r="H701" s="51"/>
      <c r="I701" s="6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61"/>
      <c r="E702" s="51"/>
      <c r="F702" s="51"/>
      <c r="G702" s="51"/>
      <c r="H702" s="51"/>
      <c r="I702" s="6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61"/>
      <c r="E703" s="51"/>
      <c r="F703" s="51"/>
      <c r="G703" s="51"/>
      <c r="H703" s="51"/>
      <c r="I703" s="6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61"/>
      <c r="E704" s="51"/>
      <c r="F704" s="51"/>
      <c r="G704" s="51"/>
      <c r="H704" s="51"/>
      <c r="I704" s="6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61"/>
      <c r="E705" s="51"/>
      <c r="F705" s="51"/>
      <c r="G705" s="51"/>
      <c r="H705" s="51"/>
      <c r="I705" s="6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61"/>
      <c r="E706" s="51"/>
      <c r="F706" s="51"/>
      <c r="G706" s="51"/>
      <c r="H706" s="51"/>
      <c r="I706" s="6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61"/>
      <c r="E707" s="51"/>
      <c r="F707" s="51"/>
      <c r="G707" s="51"/>
      <c r="H707" s="51"/>
      <c r="I707" s="6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61"/>
      <c r="E708" s="51"/>
      <c r="F708" s="51"/>
      <c r="G708" s="51"/>
      <c r="H708" s="51"/>
      <c r="I708" s="6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61"/>
      <c r="E709" s="51"/>
      <c r="F709" s="51"/>
      <c r="G709" s="51"/>
      <c r="H709" s="51"/>
      <c r="I709" s="6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61"/>
      <c r="E710" s="51"/>
      <c r="F710" s="51"/>
      <c r="G710" s="51"/>
      <c r="H710" s="51"/>
      <c r="I710" s="6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61"/>
      <c r="E711" s="51"/>
      <c r="F711" s="51"/>
      <c r="G711" s="51"/>
      <c r="H711" s="51"/>
      <c r="I711" s="6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61"/>
      <c r="E712" s="51"/>
      <c r="F712" s="51"/>
      <c r="G712" s="51"/>
      <c r="H712" s="51"/>
      <c r="I712" s="6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61"/>
      <c r="E713" s="51"/>
      <c r="F713" s="51"/>
      <c r="G713" s="51"/>
      <c r="H713" s="51"/>
      <c r="I713" s="6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61"/>
      <c r="E714" s="51"/>
      <c r="F714" s="51"/>
      <c r="G714" s="51"/>
      <c r="H714" s="51"/>
      <c r="I714" s="6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61"/>
      <c r="E715" s="51"/>
      <c r="F715" s="51"/>
      <c r="G715" s="51"/>
      <c r="H715" s="51"/>
      <c r="I715" s="6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61"/>
      <c r="E716" s="51"/>
      <c r="F716" s="51"/>
      <c r="G716" s="51"/>
      <c r="H716" s="51"/>
      <c r="I716" s="6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61"/>
      <c r="E717" s="51"/>
      <c r="F717" s="51"/>
      <c r="G717" s="51"/>
      <c r="H717" s="51"/>
      <c r="I717" s="6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61"/>
      <c r="E718" s="51"/>
      <c r="F718" s="51"/>
      <c r="G718" s="51"/>
      <c r="H718" s="51"/>
      <c r="I718" s="6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61"/>
      <c r="E719" s="51"/>
      <c r="F719" s="51"/>
      <c r="G719" s="51"/>
      <c r="H719" s="51"/>
      <c r="I719" s="6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61"/>
      <c r="E720" s="51"/>
      <c r="F720" s="51"/>
      <c r="G720" s="51"/>
      <c r="H720" s="51"/>
      <c r="I720" s="6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61"/>
      <c r="E721" s="51"/>
      <c r="F721" s="51"/>
      <c r="G721" s="51"/>
      <c r="H721" s="51"/>
      <c r="I721" s="6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61"/>
      <c r="E722" s="51"/>
      <c r="F722" s="51"/>
      <c r="G722" s="51"/>
      <c r="H722" s="51"/>
      <c r="I722" s="6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61"/>
      <c r="E723" s="51"/>
      <c r="F723" s="51"/>
      <c r="G723" s="51"/>
      <c r="H723" s="51"/>
      <c r="I723" s="6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61"/>
      <c r="E724" s="51"/>
      <c r="F724" s="51"/>
      <c r="G724" s="51"/>
      <c r="H724" s="51"/>
      <c r="I724" s="6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61"/>
      <c r="E725" s="51"/>
      <c r="F725" s="51"/>
      <c r="G725" s="51"/>
      <c r="H725" s="51"/>
      <c r="I725" s="6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61"/>
      <c r="E726" s="51"/>
      <c r="F726" s="51"/>
      <c r="G726" s="51"/>
      <c r="H726" s="51"/>
      <c r="I726" s="6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61"/>
      <c r="E727" s="51"/>
      <c r="F727" s="51"/>
      <c r="G727" s="51"/>
      <c r="H727" s="51"/>
      <c r="I727" s="6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61"/>
      <c r="E728" s="51"/>
      <c r="F728" s="51"/>
      <c r="G728" s="51"/>
      <c r="H728" s="51"/>
      <c r="I728" s="6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61"/>
      <c r="E729" s="51"/>
      <c r="F729" s="51"/>
      <c r="G729" s="51"/>
      <c r="H729" s="51"/>
      <c r="I729" s="6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61"/>
      <c r="E730" s="51"/>
      <c r="F730" s="51"/>
      <c r="G730" s="51"/>
      <c r="H730" s="51"/>
      <c r="I730" s="6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61"/>
      <c r="E731" s="51"/>
      <c r="F731" s="51"/>
      <c r="G731" s="51"/>
      <c r="H731" s="51"/>
      <c r="I731" s="6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61"/>
      <c r="E732" s="51"/>
      <c r="F732" s="51"/>
      <c r="G732" s="51"/>
      <c r="H732" s="51"/>
      <c r="I732" s="6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61"/>
      <c r="E733" s="51"/>
      <c r="F733" s="51"/>
      <c r="G733" s="51"/>
      <c r="H733" s="51"/>
      <c r="I733" s="6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61"/>
      <c r="E734" s="51"/>
      <c r="F734" s="51"/>
      <c r="G734" s="51"/>
      <c r="H734" s="51"/>
      <c r="I734" s="6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61"/>
      <c r="E735" s="51"/>
      <c r="F735" s="51"/>
      <c r="G735" s="51"/>
      <c r="H735" s="51"/>
      <c r="I735" s="6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61"/>
      <c r="E736" s="51"/>
      <c r="F736" s="51"/>
      <c r="G736" s="51"/>
      <c r="H736" s="51"/>
      <c r="I736" s="6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61"/>
      <c r="E737" s="51"/>
      <c r="F737" s="51"/>
      <c r="G737" s="51"/>
      <c r="H737" s="51"/>
      <c r="I737" s="6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61"/>
      <c r="E738" s="51"/>
      <c r="F738" s="51"/>
      <c r="G738" s="51"/>
      <c r="H738" s="51"/>
      <c r="I738" s="6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61"/>
      <c r="E739" s="51"/>
      <c r="F739" s="51"/>
      <c r="G739" s="51"/>
      <c r="H739" s="51"/>
      <c r="I739" s="6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61"/>
      <c r="E740" s="51"/>
      <c r="F740" s="51"/>
      <c r="G740" s="51"/>
      <c r="H740" s="51"/>
      <c r="I740" s="6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61"/>
      <c r="E741" s="51"/>
      <c r="F741" s="51"/>
      <c r="G741" s="51"/>
      <c r="H741" s="51"/>
      <c r="I741" s="6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61"/>
      <c r="E742" s="51"/>
      <c r="F742" s="51"/>
      <c r="G742" s="51"/>
      <c r="H742" s="51"/>
      <c r="I742" s="6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61"/>
      <c r="E743" s="51"/>
      <c r="F743" s="51"/>
      <c r="G743" s="51"/>
      <c r="H743" s="51"/>
      <c r="I743" s="6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61"/>
      <c r="E744" s="51"/>
      <c r="F744" s="51"/>
      <c r="G744" s="51"/>
      <c r="H744" s="51"/>
      <c r="I744" s="6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61"/>
      <c r="E745" s="51"/>
      <c r="F745" s="51"/>
      <c r="G745" s="51"/>
      <c r="H745" s="51"/>
      <c r="I745" s="6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61"/>
      <c r="E746" s="51"/>
      <c r="F746" s="51"/>
      <c r="G746" s="51"/>
      <c r="H746" s="51"/>
      <c r="I746" s="6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61"/>
      <c r="E747" s="51"/>
      <c r="F747" s="51"/>
      <c r="G747" s="51"/>
      <c r="H747" s="51"/>
      <c r="I747" s="6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61"/>
      <c r="E748" s="51"/>
      <c r="F748" s="51"/>
      <c r="G748" s="51"/>
      <c r="H748" s="51"/>
      <c r="I748" s="6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61"/>
      <c r="E749" s="51"/>
      <c r="F749" s="51"/>
      <c r="G749" s="51"/>
      <c r="H749" s="51"/>
      <c r="I749" s="6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61"/>
      <c r="E750" s="51"/>
      <c r="F750" s="51"/>
      <c r="G750" s="51"/>
      <c r="H750" s="51"/>
      <c r="I750" s="6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61"/>
      <c r="E751" s="51"/>
      <c r="F751" s="51"/>
      <c r="G751" s="51"/>
      <c r="H751" s="51"/>
      <c r="I751" s="6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61"/>
      <c r="E752" s="51"/>
      <c r="F752" s="51"/>
      <c r="G752" s="51"/>
      <c r="H752" s="51"/>
      <c r="I752" s="6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61"/>
      <c r="E753" s="51"/>
      <c r="F753" s="51"/>
      <c r="G753" s="51"/>
      <c r="H753" s="51"/>
      <c r="I753" s="6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61"/>
      <c r="E754" s="51"/>
      <c r="F754" s="51"/>
      <c r="G754" s="51"/>
      <c r="H754" s="51"/>
      <c r="I754" s="6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61"/>
      <c r="E755" s="51"/>
      <c r="F755" s="51"/>
      <c r="G755" s="51"/>
      <c r="H755" s="51"/>
      <c r="I755" s="6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61"/>
      <c r="E756" s="51"/>
      <c r="F756" s="51"/>
      <c r="G756" s="51"/>
      <c r="H756" s="51"/>
      <c r="I756" s="6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61"/>
      <c r="E757" s="51"/>
      <c r="F757" s="51"/>
      <c r="G757" s="51"/>
      <c r="H757" s="51"/>
      <c r="I757" s="6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61"/>
      <c r="E758" s="51"/>
      <c r="F758" s="51"/>
      <c r="G758" s="51"/>
      <c r="H758" s="51"/>
      <c r="I758" s="6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61"/>
      <c r="E759" s="51"/>
      <c r="F759" s="51"/>
      <c r="G759" s="51"/>
      <c r="H759" s="51"/>
      <c r="I759" s="6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61"/>
      <c r="E760" s="51"/>
      <c r="F760" s="51"/>
      <c r="G760" s="51"/>
      <c r="H760" s="51"/>
      <c r="I760" s="6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61"/>
      <c r="E761" s="51"/>
      <c r="F761" s="51"/>
      <c r="G761" s="51"/>
      <c r="H761" s="51"/>
      <c r="I761" s="6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61"/>
      <c r="E762" s="51"/>
      <c r="F762" s="51"/>
      <c r="G762" s="51"/>
      <c r="H762" s="51"/>
      <c r="I762" s="6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61"/>
      <c r="E763" s="51"/>
      <c r="F763" s="51"/>
      <c r="G763" s="51"/>
      <c r="H763" s="51"/>
      <c r="I763" s="6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61"/>
      <c r="E764" s="51"/>
      <c r="F764" s="51"/>
      <c r="G764" s="51"/>
      <c r="H764" s="51"/>
      <c r="I764" s="6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61"/>
      <c r="E765" s="51"/>
      <c r="F765" s="51"/>
      <c r="G765" s="51"/>
      <c r="H765" s="51"/>
      <c r="I765" s="6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61"/>
      <c r="E766" s="51"/>
      <c r="F766" s="51"/>
      <c r="G766" s="51"/>
      <c r="H766" s="51"/>
      <c r="I766" s="6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61"/>
      <c r="E767" s="51"/>
      <c r="F767" s="51"/>
      <c r="G767" s="51"/>
      <c r="H767" s="51"/>
      <c r="I767" s="6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61"/>
      <c r="E768" s="51"/>
      <c r="F768" s="51"/>
      <c r="G768" s="51"/>
      <c r="H768" s="51"/>
      <c r="I768" s="6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61"/>
      <c r="E769" s="51"/>
      <c r="F769" s="51"/>
      <c r="G769" s="51"/>
      <c r="H769" s="51"/>
      <c r="I769" s="6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61"/>
      <c r="E770" s="51"/>
      <c r="F770" s="51"/>
      <c r="G770" s="51"/>
      <c r="H770" s="51"/>
      <c r="I770" s="6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61"/>
      <c r="E771" s="51"/>
      <c r="F771" s="51"/>
      <c r="G771" s="51"/>
      <c r="H771" s="51"/>
      <c r="I771" s="6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61"/>
      <c r="E772" s="51"/>
      <c r="F772" s="51"/>
      <c r="G772" s="51"/>
      <c r="H772" s="51"/>
      <c r="I772" s="6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61"/>
      <c r="E773" s="51"/>
      <c r="F773" s="51"/>
      <c r="G773" s="51"/>
      <c r="H773" s="51"/>
      <c r="I773" s="6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61"/>
      <c r="E774" s="51"/>
      <c r="F774" s="51"/>
      <c r="G774" s="51"/>
      <c r="H774" s="51"/>
      <c r="I774" s="6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61"/>
      <c r="E775" s="51"/>
      <c r="F775" s="51"/>
      <c r="G775" s="51"/>
      <c r="H775" s="51"/>
      <c r="I775" s="6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61"/>
      <c r="E776" s="51"/>
      <c r="F776" s="51"/>
      <c r="G776" s="51"/>
      <c r="H776" s="51"/>
      <c r="I776" s="6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61"/>
      <c r="E777" s="51"/>
      <c r="F777" s="51"/>
      <c r="G777" s="51"/>
      <c r="H777" s="51"/>
      <c r="I777" s="6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61"/>
      <c r="E778" s="51"/>
      <c r="F778" s="51"/>
      <c r="G778" s="51"/>
      <c r="H778" s="51"/>
      <c r="I778" s="6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61"/>
      <c r="E779" s="51"/>
      <c r="F779" s="51"/>
      <c r="G779" s="51"/>
      <c r="H779" s="51"/>
      <c r="I779" s="6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61"/>
      <c r="E780" s="51"/>
      <c r="F780" s="51"/>
      <c r="G780" s="51"/>
      <c r="H780" s="51"/>
      <c r="I780" s="6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61"/>
      <c r="E781" s="51"/>
      <c r="F781" s="51"/>
      <c r="G781" s="51"/>
      <c r="H781" s="51"/>
      <c r="I781" s="6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61"/>
      <c r="E782" s="51"/>
      <c r="F782" s="51"/>
      <c r="G782" s="51"/>
      <c r="H782" s="51"/>
      <c r="I782" s="6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61"/>
      <c r="E783" s="51"/>
      <c r="F783" s="51"/>
      <c r="G783" s="51"/>
      <c r="H783" s="51"/>
      <c r="I783" s="6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61"/>
      <c r="E784" s="51"/>
      <c r="F784" s="51"/>
      <c r="G784" s="51"/>
      <c r="H784" s="51"/>
      <c r="I784" s="6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61"/>
      <c r="E785" s="51"/>
      <c r="F785" s="51"/>
      <c r="G785" s="51"/>
      <c r="H785" s="51"/>
      <c r="I785" s="6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61"/>
      <c r="E786" s="51"/>
      <c r="F786" s="51"/>
      <c r="G786" s="51"/>
      <c r="H786" s="51"/>
      <c r="I786" s="6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61"/>
      <c r="E787" s="51"/>
      <c r="F787" s="51"/>
      <c r="G787" s="51"/>
      <c r="H787" s="51"/>
      <c r="I787" s="6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61"/>
      <c r="E788" s="51"/>
      <c r="F788" s="51"/>
      <c r="G788" s="51"/>
      <c r="H788" s="51"/>
      <c r="I788" s="6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61"/>
      <c r="E789" s="51"/>
      <c r="F789" s="51"/>
      <c r="G789" s="51"/>
      <c r="H789" s="51"/>
      <c r="I789" s="6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61"/>
      <c r="E790" s="51"/>
      <c r="F790" s="51"/>
      <c r="G790" s="51"/>
      <c r="H790" s="51"/>
      <c r="I790" s="6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61"/>
      <c r="E791" s="51"/>
      <c r="F791" s="51"/>
      <c r="G791" s="51"/>
      <c r="H791" s="51"/>
      <c r="I791" s="6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61"/>
      <c r="E792" s="51"/>
      <c r="F792" s="51"/>
      <c r="G792" s="51"/>
      <c r="H792" s="51"/>
      <c r="I792" s="6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61"/>
      <c r="E793" s="51"/>
      <c r="F793" s="51"/>
      <c r="G793" s="51"/>
      <c r="H793" s="51"/>
      <c r="I793" s="6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61"/>
      <c r="E794" s="51"/>
      <c r="F794" s="51"/>
      <c r="G794" s="51"/>
      <c r="H794" s="51"/>
      <c r="I794" s="6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61"/>
      <c r="E795" s="51"/>
      <c r="F795" s="51"/>
      <c r="G795" s="51"/>
      <c r="H795" s="51"/>
      <c r="I795" s="6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61"/>
      <c r="E796" s="51"/>
      <c r="F796" s="51"/>
      <c r="G796" s="51"/>
      <c r="H796" s="51"/>
      <c r="I796" s="6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61"/>
      <c r="E797" s="51"/>
      <c r="F797" s="51"/>
      <c r="G797" s="51"/>
      <c r="H797" s="51"/>
      <c r="I797" s="6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61"/>
      <c r="E798" s="51"/>
      <c r="F798" s="51"/>
      <c r="G798" s="51"/>
      <c r="H798" s="51"/>
      <c r="I798" s="6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61"/>
      <c r="E799" s="51"/>
      <c r="F799" s="51"/>
      <c r="G799" s="51"/>
      <c r="H799" s="51"/>
      <c r="I799" s="6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61"/>
      <c r="E800" s="51"/>
      <c r="F800" s="51"/>
      <c r="G800" s="51"/>
      <c r="H800" s="51"/>
      <c r="I800" s="6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61"/>
      <c r="E801" s="51"/>
      <c r="F801" s="51"/>
      <c r="G801" s="51"/>
      <c r="H801" s="51"/>
      <c r="I801" s="6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61"/>
      <c r="E802" s="51"/>
      <c r="F802" s="51"/>
      <c r="G802" s="51"/>
      <c r="H802" s="51"/>
      <c r="I802" s="6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61"/>
      <c r="E803" s="51"/>
      <c r="F803" s="51"/>
      <c r="G803" s="51"/>
      <c r="H803" s="51"/>
      <c r="I803" s="6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61"/>
      <c r="E804" s="51"/>
      <c r="F804" s="51"/>
      <c r="G804" s="51"/>
      <c r="H804" s="51"/>
      <c r="I804" s="6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61"/>
      <c r="E805" s="51"/>
      <c r="F805" s="51"/>
      <c r="G805" s="51"/>
      <c r="H805" s="51"/>
      <c r="I805" s="6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61"/>
      <c r="E806" s="51"/>
      <c r="F806" s="51"/>
      <c r="G806" s="51"/>
      <c r="H806" s="51"/>
      <c r="I806" s="6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61"/>
      <c r="E807" s="51"/>
      <c r="F807" s="51"/>
      <c r="G807" s="51"/>
      <c r="H807" s="51"/>
      <c r="I807" s="6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61"/>
      <c r="E808" s="51"/>
      <c r="F808" s="51"/>
      <c r="G808" s="51"/>
      <c r="H808" s="51"/>
      <c r="I808" s="6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61"/>
      <c r="E809" s="51"/>
      <c r="F809" s="51"/>
      <c r="G809" s="51"/>
      <c r="H809" s="51"/>
      <c r="I809" s="6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61"/>
      <c r="E810" s="51"/>
      <c r="F810" s="51"/>
      <c r="G810" s="51"/>
      <c r="H810" s="51"/>
      <c r="I810" s="6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61"/>
      <c r="E811" s="51"/>
      <c r="F811" s="51"/>
      <c r="G811" s="51"/>
      <c r="H811" s="51"/>
      <c r="I811" s="6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61"/>
      <c r="E812" s="51"/>
      <c r="F812" s="51"/>
      <c r="G812" s="51"/>
      <c r="H812" s="51"/>
      <c r="I812" s="6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61"/>
      <c r="E813" s="51"/>
      <c r="F813" s="51"/>
      <c r="G813" s="51"/>
      <c r="H813" s="51"/>
      <c r="I813" s="6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61"/>
      <c r="E814" s="51"/>
      <c r="F814" s="51"/>
      <c r="G814" s="51"/>
      <c r="H814" s="51"/>
      <c r="I814" s="6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61"/>
      <c r="E815" s="51"/>
      <c r="F815" s="51"/>
      <c r="G815" s="51"/>
      <c r="H815" s="51"/>
      <c r="I815" s="6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61"/>
      <c r="E816" s="51"/>
      <c r="F816" s="51"/>
      <c r="G816" s="51"/>
      <c r="H816" s="51"/>
      <c r="I816" s="6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61"/>
      <c r="E817" s="51"/>
      <c r="F817" s="51"/>
      <c r="G817" s="51"/>
      <c r="H817" s="51"/>
      <c r="I817" s="6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61"/>
      <c r="E818" s="51"/>
      <c r="F818" s="51"/>
      <c r="G818" s="51"/>
      <c r="H818" s="51"/>
      <c r="I818" s="6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61"/>
      <c r="E819" s="51"/>
      <c r="F819" s="51"/>
      <c r="G819" s="51"/>
      <c r="H819" s="51"/>
      <c r="I819" s="6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61"/>
      <c r="E820" s="51"/>
      <c r="F820" s="51"/>
      <c r="G820" s="51"/>
      <c r="H820" s="51"/>
      <c r="I820" s="6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61"/>
      <c r="E821" s="51"/>
      <c r="F821" s="51"/>
      <c r="G821" s="51"/>
      <c r="H821" s="51"/>
      <c r="I821" s="6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61"/>
      <c r="E822" s="51"/>
      <c r="F822" s="51"/>
      <c r="G822" s="51"/>
      <c r="H822" s="51"/>
      <c r="I822" s="6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61"/>
      <c r="E823" s="51"/>
      <c r="F823" s="51"/>
      <c r="G823" s="51"/>
      <c r="H823" s="51"/>
      <c r="I823" s="6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61"/>
      <c r="E824" s="51"/>
      <c r="F824" s="51"/>
      <c r="G824" s="51"/>
      <c r="H824" s="51"/>
      <c r="I824" s="6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61"/>
      <c r="E825" s="51"/>
      <c r="F825" s="51"/>
      <c r="G825" s="51"/>
      <c r="H825" s="51"/>
      <c r="I825" s="6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61"/>
      <c r="E826" s="51"/>
      <c r="F826" s="51"/>
      <c r="G826" s="51"/>
      <c r="H826" s="51"/>
      <c r="I826" s="6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61"/>
      <c r="E827" s="51"/>
      <c r="F827" s="51"/>
      <c r="G827" s="51"/>
      <c r="H827" s="51"/>
      <c r="I827" s="6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61"/>
      <c r="E828" s="51"/>
      <c r="F828" s="51"/>
      <c r="G828" s="51"/>
      <c r="H828" s="51"/>
      <c r="I828" s="6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61"/>
      <c r="E829" s="51"/>
      <c r="F829" s="51"/>
      <c r="G829" s="51"/>
      <c r="H829" s="51"/>
      <c r="I829" s="6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61"/>
      <c r="E830" s="51"/>
      <c r="F830" s="51"/>
      <c r="G830" s="51"/>
      <c r="H830" s="51"/>
      <c r="I830" s="6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61"/>
      <c r="E831" s="51"/>
      <c r="F831" s="51"/>
      <c r="G831" s="51"/>
      <c r="H831" s="51"/>
      <c r="I831" s="6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61"/>
      <c r="E832" s="51"/>
      <c r="F832" s="51"/>
      <c r="G832" s="51"/>
      <c r="H832" s="51"/>
      <c r="I832" s="6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61"/>
      <c r="E833" s="51"/>
      <c r="F833" s="51"/>
      <c r="G833" s="51"/>
      <c r="H833" s="51"/>
      <c r="I833" s="6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61"/>
      <c r="E834" s="51"/>
      <c r="F834" s="51"/>
      <c r="G834" s="51"/>
      <c r="H834" s="51"/>
      <c r="I834" s="6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61"/>
      <c r="E835" s="51"/>
      <c r="F835" s="51"/>
      <c r="G835" s="51"/>
      <c r="H835" s="51"/>
      <c r="I835" s="6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61"/>
      <c r="E836" s="51"/>
      <c r="F836" s="51"/>
      <c r="G836" s="51"/>
      <c r="H836" s="51"/>
      <c r="I836" s="6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61"/>
      <c r="E837" s="51"/>
      <c r="F837" s="51"/>
      <c r="G837" s="51"/>
      <c r="H837" s="51"/>
      <c r="I837" s="6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61"/>
      <c r="E838" s="51"/>
      <c r="F838" s="51"/>
      <c r="G838" s="51"/>
      <c r="H838" s="51"/>
      <c r="I838" s="6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61"/>
      <c r="E839" s="51"/>
      <c r="F839" s="51"/>
      <c r="G839" s="51"/>
      <c r="H839" s="51"/>
      <c r="I839" s="6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61"/>
      <c r="E840" s="51"/>
      <c r="F840" s="51"/>
      <c r="G840" s="51"/>
      <c r="H840" s="51"/>
      <c r="I840" s="6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61"/>
      <c r="E841" s="51"/>
      <c r="F841" s="51"/>
      <c r="G841" s="51"/>
      <c r="H841" s="51"/>
      <c r="I841" s="6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61"/>
      <c r="E842" s="51"/>
      <c r="F842" s="51"/>
      <c r="G842" s="51"/>
      <c r="H842" s="51"/>
      <c r="I842" s="6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61"/>
      <c r="E843" s="51"/>
      <c r="F843" s="51"/>
      <c r="G843" s="51"/>
      <c r="H843" s="51"/>
      <c r="I843" s="6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61"/>
      <c r="E844" s="51"/>
      <c r="F844" s="51"/>
      <c r="G844" s="51"/>
      <c r="H844" s="51"/>
      <c r="I844" s="6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61"/>
      <c r="E845" s="51"/>
      <c r="F845" s="51"/>
      <c r="G845" s="51"/>
      <c r="H845" s="51"/>
      <c r="I845" s="6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61"/>
      <c r="E846" s="51"/>
      <c r="F846" s="51"/>
      <c r="G846" s="51"/>
      <c r="H846" s="51"/>
      <c r="I846" s="6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61"/>
      <c r="E847" s="51"/>
      <c r="F847" s="51"/>
      <c r="G847" s="51"/>
      <c r="H847" s="51"/>
      <c r="I847" s="6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61"/>
      <c r="E848" s="51"/>
      <c r="F848" s="51"/>
      <c r="G848" s="51"/>
      <c r="H848" s="51"/>
      <c r="I848" s="6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61"/>
      <c r="E849" s="51"/>
      <c r="F849" s="51"/>
      <c r="G849" s="51"/>
      <c r="H849" s="51"/>
      <c r="I849" s="6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61"/>
      <c r="E850" s="51"/>
      <c r="F850" s="51"/>
      <c r="G850" s="51"/>
      <c r="H850" s="51"/>
      <c r="I850" s="6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61"/>
      <c r="E851" s="51"/>
      <c r="F851" s="51"/>
      <c r="G851" s="51"/>
      <c r="H851" s="51"/>
      <c r="I851" s="6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61"/>
      <c r="E852" s="51"/>
      <c r="F852" s="51"/>
      <c r="G852" s="51"/>
      <c r="H852" s="51"/>
      <c r="I852" s="6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61"/>
      <c r="E853" s="51"/>
      <c r="F853" s="51"/>
      <c r="G853" s="51"/>
      <c r="H853" s="51"/>
      <c r="I853" s="6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61"/>
      <c r="E854" s="51"/>
      <c r="F854" s="51"/>
      <c r="G854" s="51"/>
      <c r="H854" s="51"/>
      <c r="I854" s="6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61"/>
      <c r="E855" s="51"/>
      <c r="F855" s="51"/>
      <c r="G855" s="51"/>
      <c r="H855" s="51"/>
      <c r="I855" s="6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61"/>
      <c r="E856" s="51"/>
      <c r="F856" s="51"/>
      <c r="G856" s="51"/>
      <c r="H856" s="51"/>
      <c r="I856" s="6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61"/>
      <c r="E857" s="51"/>
      <c r="F857" s="51"/>
      <c r="G857" s="51"/>
      <c r="H857" s="51"/>
      <c r="I857" s="6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61"/>
      <c r="E858" s="51"/>
      <c r="F858" s="51"/>
      <c r="G858" s="51"/>
      <c r="H858" s="51"/>
      <c r="I858" s="6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61"/>
      <c r="E859" s="51"/>
      <c r="F859" s="51"/>
      <c r="G859" s="51"/>
      <c r="H859" s="51"/>
      <c r="I859" s="6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61"/>
      <c r="E860" s="51"/>
      <c r="F860" s="51"/>
      <c r="G860" s="51"/>
      <c r="H860" s="51"/>
      <c r="I860" s="6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61"/>
      <c r="E861" s="51"/>
      <c r="F861" s="51"/>
      <c r="G861" s="51"/>
      <c r="H861" s="51"/>
      <c r="I861" s="6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61"/>
      <c r="E862" s="51"/>
      <c r="F862" s="51"/>
      <c r="G862" s="51"/>
      <c r="H862" s="51"/>
      <c r="I862" s="6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61"/>
      <c r="E863" s="51"/>
      <c r="F863" s="51"/>
      <c r="G863" s="51"/>
      <c r="H863" s="51"/>
      <c r="I863" s="6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61"/>
      <c r="E864" s="51"/>
      <c r="F864" s="51"/>
      <c r="G864" s="51"/>
      <c r="H864" s="51"/>
      <c r="I864" s="6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61"/>
      <c r="E865" s="51"/>
      <c r="F865" s="51"/>
      <c r="G865" s="51"/>
      <c r="H865" s="51"/>
      <c r="I865" s="6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61"/>
      <c r="E866" s="51"/>
      <c r="F866" s="51"/>
      <c r="G866" s="51"/>
      <c r="H866" s="51"/>
      <c r="I866" s="6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61"/>
      <c r="E867" s="51"/>
      <c r="F867" s="51"/>
      <c r="G867" s="51"/>
      <c r="H867" s="51"/>
      <c r="I867" s="6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61"/>
      <c r="E868" s="51"/>
      <c r="F868" s="51"/>
      <c r="G868" s="51"/>
      <c r="H868" s="51"/>
      <c r="I868" s="6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61"/>
      <c r="E869" s="51"/>
      <c r="F869" s="51"/>
      <c r="G869" s="51"/>
      <c r="H869" s="51"/>
      <c r="I869" s="6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61"/>
      <c r="E870" s="51"/>
      <c r="F870" s="51"/>
      <c r="G870" s="51"/>
      <c r="H870" s="51"/>
      <c r="I870" s="6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61"/>
      <c r="E871" s="51"/>
      <c r="F871" s="51"/>
      <c r="G871" s="51"/>
      <c r="H871" s="51"/>
      <c r="I871" s="6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61"/>
      <c r="E872" s="51"/>
      <c r="F872" s="51"/>
      <c r="G872" s="51"/>
      <c r="H872" s="51"/>
      <c r="I872" s="6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61"/>
      <c r="E873" s="51"/>
      <c r="F873" s="51"/>
      <c r="G873" s="51"/>
      <c r="H873" s="51"/>
      <c r="I873" s="6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61"/>
      <c r="E874" s="51"/>
      <c r="F874" s="51"/>
      <c r="G874" s="51"/>
      <c r="H874" s="51"/>
      <c r="I874" s="6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61"/>
      <c r="E875" s="51"/>
      <c r="F875" s="51"/>
      <c r="G875" s="51"/>
      <c r="H875" s="51"/>
      <c r="I875" s="6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61"/>
      <c r="E876" s="51"/>
      <c r="F876" s="51"/>
      <c r="G876" s="51"/>
      <c r="H876" s="51"/>
      <c r="I876" s="6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61"/>
      <c r="E877" s="51"/>
      <c r="F877" s="51"/>
      <c r="G877" s="51"/>
      <c r="H877" s="51"/>
      <c r="I877" s="6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61"/>
      <c r="E878" s="51"/>
      <c r="F878" s="51"/>
      <c r="G878" s="51"/>
      <c r="H878" s="51"/>
      <c r="I878" s="6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61"/>
      <c r="E879" s="51"/>
      <c r="F879" s="51"/>
      <c r="G879" s="51"/>
      <c r="H879" s="51"/>
      <c r="I879" s="6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61"/>
      <c r="E880" s="51"/>
      <c r="F880" s="51"/>
      <c r="G880" s="51"/>
      <c r="H880" s="51"/>
      <c r="I880" s="6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61"/>
      <c r="E881" s="51"/>
      <c r="F881" s="51"/>
      <c r="G881" s="51"/>
      <c r="H881" s="51"/>
      <c r="I881" s="6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61"/>
      <c r="E882" s="51"/>
      <c r="F882" s="51"/>
      <c r="G882" s="51"/>
      <c r="H882" s="51"/>
      <c r="I882" s="6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61"/>
      <c r="E883" s="51"/>
      <c r="F883" s="51"/>
      <c r="G883" s="51"/>
      <c r="H883" s="51"/>
      <c r="I883" s="6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61"/>
      <c r="E884" s="51"/>
      <c r="F884" s="51"/>
      <c r="G884" s="51"/>
      <c r="H884" s="51"/>
      <c r="I884" s="6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61"/>
      <c r="E885" s="51"/>
      <c r="F885" s="51"/>
      <c r="G885" s="51"/>
      <c r="H885" s="51"/>
      <c r="I885" s="6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61"/>
      <c r="E886" s="51"/>
      <c r="F886" s="51"/>
      <c r="G886" s="51"/>
      <c r="H886" s="51"/>
      <c r="I886" s="6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61"/>
      <c r="E887" s="51"/>
      <c r="F887" s="51"/>
      <c r="G887" s="51"/>
      <c r="H887" s="51"/>
      <c r="I887" s="6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61"/>
      <c r="E888" s="51"/>
      <c r="F888" s="51"/>
      <c r="G888" s="51"/>
      <c r="H888" s="51"/>
      <c r="I888" s="6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61"/>
      <c r="E889" s="51"/>
      <c r="F889" s="51"/>
      <c r="G889" s="51"/>
      <c r="H889" s="51"/>
      <c r="I889" s="6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61"/>
      <c r="E890" s="51"/>
      <c r="F890" s="51"/>
      <c r="G890" s="51"/>
      <c r="H890" s="51"/>
      <c r="I890" s="6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61"/>
      <c r="E891" s="51"/>
      <c r="F891" s="51"/>
      <c r="G891" s="51"/>
      <c r="H891" s="51"/>
      <c r="I891" s="6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61"/>
      <c r="E892" s="51"/>
      <c r="F892" s="51"/>
      <c r="G892" s="51"/>
      <c r="H892" s="51"/>
      <c r="I892" s="6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61"/>
      <c r="E893" s="51"/>
      <c r="F893" s="51"/>
      <c r="G893" s="51"/>
      <c r="H893" s="51"/>
      <c r="I893" s="6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61"/>
      <c r="E894" s="51"/>
      <c r="F894" s="51"/>
      <c r="G894" s="51"/>
      <c r="H894" s="51"/>
      <c r="I894" s="6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61"/>
      <c r="E895" s="51"/>
      <c r="F895" s="51"/>
      <c r="G895" s="51"/>
      <c r="H895" s="51"/>
      <c r="I895" s="6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61"/>
      <c r="E896" s="51"/>
      <c r="F896" s="51"/>
      <c r="G896" s="51"/>
      <c r="H896" s="51"/>
      <c r="I896" s="6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61"/>
      <c r="E897" s="51"/>
      <c r="F897" s="51"/>
      <c r="G897" s="51"/>
      <c r="H897" s="51"/>
      <c r="I897" s="6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61"/>
      <c r="E898" s="51"/>
      <c r="F898" s="51"/>
      <c r="G898" s="51"/>
      <c r="H898" s="51"/>
      <c r="I898" s="6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61"/>
      <c r="E899" s="51"/>
      <c r="F899" s="51"/>
      <c r="G899" s="51"/>
      <c r="H899" s="51"/>
      <c r="I899" s="6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61"/>
      <c r="E900" s="51"/>
      <c r="F900" s="51"/>
      <c r="G900" s="51"/>
      <c r="H900" s="51"/>
      <c r="I900" s="6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61"/>
      <c r="E901" s="51"/>
      <c r="F901" s="51"/>
      <c r="G901" s="51"/>
      <c r="H901" s="51"/>
      <c r="I901" s="6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61"/>
      <c r="E902" s="51"/>
      <c r="F902" s="51"/>
      <c r="G902" s="51"/>
      <c r="H902" s="51"/>
      <c r="I902" s="6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61"/>
      <c r="E903" s="51"/>
      <c r="F903" s="51"/>
      <c r="G903" s="51"/>
      <c r="H903" s="51"/>
      <c r="I903" s="6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61"/>
      <c r="E904" s="51"/>
      <c r="F904" s="51"/>
      <c r="G904" s="51"/>
      <c r="H904" s="51"/>
      <c r="I904" s="6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61"/>
      <c r="E905" s="51"/>
      <c r="F905" s="51"/>
      <c r="G905" s="51"/>
      <c r="H905" s="51"/>
      <c r="I905" s="6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61"/>
      <c r="E906" s="51"/>
      <c r="F906" s="51"/>
      <c r="G906" s="51"/>
      <c r="H906" s="51"/>
      <c r="I906" s="6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61"/>
      <c r="E907" s="51"/>
      <c r="F907" s="51"/>
      <c r="G907" s="51"/>
      <c r="H907" s="51"/>
      <c r="I907" s="6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61"/>
      <c r="E908" s="51"/>
      <c r="F908" s="51"/>
      <c r="G908" s="51"/>
      <c r="H908" s="51"/>
      <c r="I908" s="6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61"/>
      <c r="E909" s="51"/>
      <c r="F909" s="51"/>
      <c r="G909" s="51"/>
      <c r="H909" s="51"/>
      <c r="I909" s="6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61"/>
      <c r="E910" s="51"/>
      <c r="F910" s="51"/>
      <c r="G910" s="51"/>
      <c r="H910" s="51"/>
      <c r="I910" s="6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61"/>
      <c r="E911" s="51"/>
      <c r="F911" s="51"/>
      <c r="G911" s="51"/>
      <c r="H911" s="51"/>
      <c r="I911" s="6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61"/>
      <c r="E912" s="51"/>
      <c r="F912" s="51"/>
      <c r="G912" s="51"/>
      <c r="H912" s="51"/>
      <c r="I912" s="6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61"/>
      <c r="E913" s="51"/>
      <c r="F913" s="51"/>
      <c r="G913" s="51"/>
      <c r="H913" s="51"/>
      <c r="I913" s="6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61"/>
      <c r="E914" s="51"/>
      <c r="F914" s="51"/>
      <c r="G914" s="51"/>
      <c r="H914" s="51"/>
      <c r="I914" s="6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61"/>
      <c r="E915" s="51"/>
      <c r="F915" s="51"/>
      <c r="G915" s="51"/>
      <c r="H915" s="51"/>
      <c r="I915" s="6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61"/>
      <c r="E916" s="51"/>
      <c r="F916" s="51"/>
      <c r="G916" s="51"/>
      <c r="H916" s="51"/>
      <c r="I916" s="6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61"/>
      <c r="E917" s="51"/>
      <c r="F917" s="51"/>
      <c r="G917" s="51"/>
      <c r="H917" s="51"/>
      <c r="I917" s="6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61"/>
      <c r="E918" s="51"/>
      <c r="F918" s="51"/>
      <c r="G918" s="51"/>
      <c r="H918" s="51"/>
      <c r="I918" s="6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61"/>
      <c r="E919" s="51"/>
      <c r="F919" s="51"/>
      <c r="G919" s="51"/>
      <c r="H919" s="51"/>
      <c r="I919" s="6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61"/>
      <c r="E920" s="51"/>
      <c r="F920" s="51"/>
      <c r="G920" s="51"/>
      <c r="H920" s="51"/>
      <c r="I920" s="6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61"/>
      <c r="E921" s="51"/>
      <c r="F921" s="51"/>
      <c r="G921" s="51"/>
      <c r="H921" s="51"/>
      <c r="I921" s="6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61"/>
      <c r="E922" s="51"/>
      <c r="F922" s="51"/>
      <c r="G922" s="51"/>
      <c r="H922" s="51"/>
      <c r="I922" s="6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61"/>
      <c r="E923" s="51"/>
      <c r="F923" s="51"/>
      <c r="G923" s="51"/>
      <c r="H923" s="51"/>
      <c r="I923" s="6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61"/>
      <c r="E924" s="51"/>
      <c r="F924" s="51"/>
      <c r="G924" s="51"/>
      <c r="H924" s="51"/>
      <c r="I924" s="6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61"/>
      <c r="E925" s="51"/>
      <c r="F925" s="51"/>
      <c r="G925" s="51"/>
      <c r="H925" s="51"/>
      <c r="I925" s="6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61"/>
      <c r="E926" s="51"/>
      <c r="F926" s="51"/>
      <c r="G926" s="51"/>
      <c r="H926" s="51"/>
      <c r="I926" s="6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61"/>
      <c r="E927" s="51"/>
      <c r="F927" s="51"/>
      <c r="G927" s="51"/>
      <c r="H927" s="51"/>
      <c r="I927" s="6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61"/>
      <c r="E928" s="51"/>
      <c r="F928" s="51"/>
      <c r="G928" s="51"/>
      <c r="H928" s="51"/>
      <c r="I928" s="6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61"/>
      <c r="E929" s="51"/>
      <c r="F929" s="51"/>
      <c r="G929" s="51"/>
      <c r="H929" s="51"/>
      <c r="I929" s="6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61"/>
      <c r="E930" s="51"/>
      <c r="F930" s="51"/>
      <c r="G930" s="51"/>
      <c r="H930" s="51"/>
      <c r="I930" s="6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61"/>
      <c r="E931" s="51"/>
      <c r="F931" s="51"/>
      <c r="G931" s="51"/>
      <c r="H931" s="51"/>
      <c r="I931" s="6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61"/>
      <c r="E932" s="51"/>
      <c r="F932" s="51"/>
      <c r="G932" s="51"/>
      <c r="H932" s="51"/>
      <c r="I932" s="6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61"/>
      <c r="E933" s="51"/>
      <c r="F933" s="51"/>
      <c r="G933" s="51"/>
      <c r="H933" s="51"/>
      <c r="I933" s="6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61"/>
      <c r="E934" s="51"/>
      <c r="F934" s="51"/>
      <c r="G934" s="51"/>
      <c r="H934" s="51"/>
      <c r="I934" s="6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61"/>
      <c r="E935" s="51"/>
      <c r="F935" s="51"/>
      <c r="G935" s="51"/>
      <c r="H935" s="51"/>
      <c r="I935" s="6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61"/>
      <c r="E936" s="51"/>
      <c r="F936" s="51"/>
      <c r="G936" s="51"/>
      <c r="H936" s="51"/>
      <c r="I936" s="6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61"/>
      <c r="E937" s="51"/>
      <c r="F937" s="51"/>
      <c r="G937" s="51"/>
      <c r="H937" s="51"/>
      <c r="I937" s="6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61"/>
      <c r="E938" s="51"/>
      <c r="F938" s="51"/>
      <c r="G938" s="51"/>
      <c r="H938" s="51"/>
      <c r="I938" s="6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61"/>
      <c r="E939" s="51"/>
      <c r="F939" s="51"/>
      <c r="G939" s="51"/>
      <c r="H939" s="51"/>
      <c r="I939" s="6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61"/>
      <c r="E940" s="51"/>
      <c r="F940" s="51"/>
      <c r="G940" s="51"/>
      <c r="H940" s="51"/>
      <c r="I940" s="6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61"/>
      <c r="E941" s="51"/>
      <c r="F941" s="51"/>
      <c r="G941" s="51"/>
      <c r="H941" s="51"/>
      <c r="I941" s="6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61"/>
      <c r="E942" s="51"/>
      <c r="F942" s="51"/>
      <c r="G942" s="51"/>
      <c r="H942" s="51"/>
      <c r="I942" s="6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61"/>
      <c r="E943" s="51"/>
      <c r="F943" s="51"/>
      <c r="G943" s="51"/>
      <c r="H943" s="51"/>
      <c r="I943" s="6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61"/>
      <c r="E944" s="51"/>
      <c r="F944" s="51"/>
      <c r="G944" s="51"/>
      <c r="H944" s="51"/>
      <c r="I944" s="6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61"/>
      <c r="E945" s="51"/>
      <c r="F945" s="51"/>
      <c r="G945" s="51"/>
      <c r="H945" s="51"/>
      <c r="I945" s="6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61"/>
      <c r="E946" s="51"/>
      <c r="F946" s="51"/>
      <c r="G946" s="51"/>
      <c r="H946" s="51"/>
      <c r="I946" s="6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61"/>
      <c r="E947" s="51"/>
      <c r="F947" s="51"/>
      <c r="G947" s="51"/>
      <c r="H947" s="51"/>
      <c r="I947" s="6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61"/>
      <c r="E948" s="51"/>
      <c r="F948" s="51"/>
      <c r="G948" s="51"/>
      <c r="H948" s="51"/>
      <c r="I948" s="6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61"/>
      <c r="E949" s="51"/>
      <c r="F949" s="51"/>
      <c r="G949" s="51"/>
      <c r="H949" s="51"/>
      <c r="I949" s="6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61"/>
      <c r="E950" s="51"/>
      <c r="F950" s="51"/>
      <c r="G950" s="51"/>
      <c r="H950" s="51"/>
      <c r="I950" s="6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61"/>
      <c r="E951" s="51"/>
      <c r="F951" s="51"/>
      <c r="G951" s="51"/>
      <c r="H951" s="51"/>
      <c r="I951" s="6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61"/>
      <c r="E952" s="51"/>
      <c r="F952" s="51"/>
      <c r="G952" s="51"/>
      <c r="H952" s="51"/>
      <c r="I952" s="6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61"/>
      <c r="E953" s="51"/>
      <c r="F953" s="51"/>
      <c r="G953" s="51"/>
      <c r="H953" s="51"/>
      <c r="I953" s="6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61"/>
      <c r="E954" s="51"/>
      <c r="F954" s="51"/>
      <c r="G954" s="51"/>
      <c r="H954" s="51"/>
      <c r="I954" s="6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61"/>
      <c r="E955" s="51"/>
      <c r="F955" s="51"/>
      <c r="G955" s="51"/>
      <c r="H955" s="51"/>
      <c r="I955" s="6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61"/>
      <c r="E956" s="51"/>
      <c r="F956" s="51"/>
      <c r="G956" s="51"/>
      <c r="H956" s="51"/>
      <c r="I956" s="6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61"/>
      <c r="E957" s="51"/>
      <c r="F957" s="51"/>
      <c r="G957" s="51"/>
      <c r="H957" s="51"/>
      <c r="I957" s="6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61"/>
      <c r="E958" s="51"/>
      <c r="F958" s="51"/>
      <c r="G958" s="51"/>
      <c r="H958" s="51"/>
      <c r="I958" s="6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61"/>
      <c r="E959" s="51"/>
      <c r="F959" s="51"/>
      <c r="G959" s="51"/>
      <c r="H959" s="51"/>
      <c r="I959" s="6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61"/>
      <c r="E960" s="51"/>
      <c r="F960" s="51"/>
      <c r="G960" s="51"/>
      <c r="H960" s="51"/>
      <c r="I960" s="6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61"/>
      <c r="E961" s="51"/>
      <c r="F961" s="51"/>
      <c r="G961" s="51"/>
      <c r="H961" s="51"/>
      <c r="I961" s="6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61"/>
      <c r="E962" s="51"/>
      <c r="F962" s="51"/>
      <c r="G962" s="51"/>
      <c r="H962" s="51"/>
      <c r="I962" s="6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61"/>
      <c r="E963" s="51"/>
      <c r="F963" s="51"/>
      <c r="G963" s="51"/>
      <c r="H963" s="51"/>
      <c r="I963" s="6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61"/>
      <c r="E964" s="51"/>
      <c r="F964" s="51"/>
      <c r="G964" s="51"/>
      <c r="H964" s="51"/>
      <c r="I964" s="6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61"/>
      <c r="E965" s="51"/>
      <c r="F965" s="51"/>
      <c r="G965" s="51"/>
      <c r="H965" s="51"/>
      <c r="I965" s="6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61"/>
      <c r="E966" s="51"/>
      <c r="F966" s="51"/>
      <c r="G966" s="51"/>
      <c r="H966" s="51"/>
      <c r="I966" s="6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61"/>
      <c r="E967" s="51"/>
      <c r="F967" s="51"/>
      <c r="G967" s="51"/>
      <c r="H967" s="51"/>
      <c r="I967" s="6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61"/>
      <c r="E968" s="51"/>
      <c r="F968" s="51"/>
      <c r="G968" s="51"/>
      <c r="H968" s="51"/>
      <c r="I968" s="6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61"/>
      <c r="E969" s="51"/>
      <c r="F969" s="51"/>
      <c r="G969" s="51"/>
      <c r="H969" s="51"/>
      <c r="I969" s="6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61"/>
      <c r="E970" s="51"/>
      <c r="F970" s="51"/>
      <c r="G970" s="51"/>
      <c r="H970" s="51"/>
      <c r="I970" s="6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61"/>
      <c r="E971" s="51"/>
      <c r="F971" s="51"/>
      <c r="G971" s="51"/>
      <c r="H971" s="51"/>
      <c r="I971" s="6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61"/>
      <c r="E972" s="51"/>
      <c r="F972" s="51"/>
      <c r="G972" s="51"/>
      <c r="H972" s="51"/>
      <c r="I972" s="6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61"/>
      <c r="E973" s="51"/>
      <c r="F973" s="51"/>
      <c r="G973" s="51"/>
      <c r="H973" s="51"/>
      <c r="I973" s="6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61"/>
      <c r="E974" s="51"/>
      <c r="F974" s="51"/>
      <c r="G974" s="51"/>
      <c r="H974" s="51"/>
      <c r="I974" s="6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61"/>
      <c r="E975" s="51"/>
      <c r="F975" s="51"/>
      <c r="G975" s="51"/>
      <c r="H975" s="51"/>
      <c r="I975" s="6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61"/>
      <c r="E976" s="51"/>
      <c r="F976" s="51"/>
      <c r="G976" s="51"/>
      <c r="H976" s="51"/>
      <c r="I976" s="6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61"/>
      <c r="E977" s="51"/>
      <c r="F977" s="51"/>
      <c r="G977" s="51"/>
      <c r="H977" s="51"/>
      <c r="I977" s="6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61"/>
      <c r="E978" s="51"/>
      <c r="F978" s="51"/>
      <c r="G978" s="51"/>
      <c r="H978" s="51"/>
      <c r="I978" s="6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61"/>
      <c r="E979" s="51"/>
      <c r="F979" s="51"/>
      <c r="G979" s="51"/>
      <c r="H979" s="51"/>
      <c r="I979" s="6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61"/>
      <c r="E980" s="51"/>
      <c r="F980" s="51"/>
      <c r="G980" s="51"/>
      <c r="H980" s="51"/>
      <c r="I980" s="6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61"/>
      <c r="E981" s="51"/>
      <c r="F981" s="51"/>
      <c r="G981" s="51"/>
      <c r="H981" s="51"/>
      <c r="I981" s="6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61"/>
      <c r="E982" s="51"/>
      <c r="F982" s="51"/>
      <c r="G982" s="51"/>
      <c r="H982" s="51"/>
      <c r="I982" s="6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61"/>
      <c r="E983" s="51"/>
      <c r="F983" s="51"/>
      <c r="G983" s="51"/>
      <c r="H983" s="51"/>
      <c r="I983" s="6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61"/>
      <c r="E984" s="51"/>
      <c r="F984" s="51"/>
      <c r="G984" s="51"/>
      <c r="H984" s="51"/>
      <c r="I984" s="6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61"/>
      <c r="E985" s="51"/>
      <c r="F985" s="51"/>
      <c r="G985" s="51"/>
      <c r="H985" s="51"/>
      <c r="I985" s="6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61"/>
      <c r="E986" s="51"/>
      <c r="F986" s="51"/>
      <c r="G986" s="51"/>
      <c r="H986" s="51"/>
      <c r="I986" s="6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61"/>
      <c r="E987" s="51"/>
      <c r="F987" s="51"/>
      <c r="G987" s="51"/>
      <c r="H987" s="51"/>
      <c r="I987" s="6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61"/>
      <c r="E988" s="51"/>
      <c r="F988" s="51"/>
      <c r="G988" s="51"/>
      <c r="H988" s="51"/>
      <c r="I988" s="6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61"/>
      <c r="E989" s="51"/>
      <c r="F989" s="51"/>
      <c r="G989" s="51"/>
      <c r="H989" s="51"/>
      <c r="I989" s="6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61"/>
      <c r="E990" s="51"/>
      <c r="F990" s="51"/>
      <c r="G990" s="51"/>
      <c r="H990" s="51"/>
      <c r="I990" s="6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61"/>
      <c r="E991" s="51"/>
      <c r="F991" s="51"/>
      <c r="G991" s="51"/>
      <c r="H991" s="51"/>
      <c r="I991" s="6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61"/>
      <c r="E992" s="51"/>
      <c r="F992" s="51"/>
      <c r="G992" s="51"/>
      <c r="H992" s="51"/>
      <c r="I992" s="6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61"/>
      <c r="E993" s="51"/>
      <c r="F993" s="51"/>
      <c r="G993" s="51"/>
      <c r="H993" s="51"/>
      <c r="I993" s="6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61"/>
      <c r="E994" s="51"/>
      <c r="F994" s="51"/>
      <c r="G994" s="51"/>
      <c r="H994" s="51"/>
      <c r="I994" s="6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61"/>
      <c r="E995" s="51"/>
      <c r="F995" s="51"/>
      <c r="G995" s="51"/>
      <c r="H995" s="51"/>
      <c r="I995" s="6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61"/>
      <c r="E996" s="51"/>
      <c r="F996" s="51"/>
      <c r="G996" s="51"/>
      <c r="H996" s="51"/>
      <c r="I996" s="6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61"/>
      <c r="E997" s="51"/>
      <c r="F997" s="51"/>
      <c r="G997" s="51"/>
      <c r="H997" s="51"/>
      <c r="I997" s="6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61"/>
      <c r="E998" s="51"/>
      <c r="F998" s="51"/>
      <c r="G998" s="51"/>
      <c r="H998" s="51"/>
      <c r="I998" s="6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61"/>
      <c r="E999" s="51"/>
      <c r="F999" s="51"/>
      <c r="G999" s="51"/>
      <c r="H999" s="51"/>
      <c r="I999" s="6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61"/>
      <c r="E1000" s="51"/>
      <c r="F1000" s="51"/>
      <c r="G1000" s="51"/>
      <c r="H1000" s="51"/>
      <c r="I1000" s="6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autoFilter ref="F1:F59" xr:uid="{00000000-0009-0000-0000-000003000000}"/>
  <phoneticPr fontId="4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4" width="16.28515625" customWidth="1"/>
    <col min="5" max="5" width="22.7109375" customWidth="1"/>
    <col min="6" max="6" width="17.140625" customWidth="1"/>
    <col min="7" max="7" width="18.28515625" customWidth="1"/>
    <col min="8" max="8" width="20.7109375" customWidth="1"/>
    <col min="9" max="9" width="14.7109375" customWidth="1"/>
    <col min="10" max="10" width="14.28515625" customWidth="1"/>
    <col min="11" max="26" width="9.140625" customWidth="1"/>
  </cols>
  <sheetData>
    <row r="1" spans="1:26" ht="18.75" customHeight="1" x14ac:dyDescent="0.25">
      <c r="A1" s="62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33" t="s">
        <v>25</v>
      </c>
      <c r="C2" s="33" t="s">
        <v>29</v>
      </c>
      <c r="D2" s="33" t="s">
        <v>278</v>
      </c>
      <c r="E2" s="33" t="s">
        <v>279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27" t="s">
        <v>90</v>
      </c>
      <c r="C3" s="27">
        <v>410</v>
      </c>
      <c r="D3" s="27">
        <v>410</v>
      </c>
      <c r="E3" s="34">
        <f t="shared" ref="E3:E10" si="0">D3/$D$10</f>
        <v>0.33884297520661155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27" t="s">
        <v>37</v>
      </c>
      <c r="C4" s="27">
        <v>275</v>
      </c>
      <c r="D4" s="27">
        <f t="shared" ref="D4:D10" si="1">D3+C4</f>
        <v>685</v>
      </c>
      <c r="E4" s="34">
        <f t="shared" si="0"/>
        <v>0.56611570247933884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27" t="s">
        <v>67</v>
      </c>
      <c r="C5" s="27">
        <v>130</v>
      </c>
      <c r="D5" s="27">
        <f t="shared" si="1"/>
        <v>815</v>
      </c>
      <c r="E5" s="34">
        <f t="shared" si="0"/>
        <v>0.67355371900826444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27" t="s">
        <v>219</v>
      </c>
      <c r="C6" s="27">
        <v>115</v>
      </c>
      <c r="D6" s="27">
        <f t="shared" si="1"/>
        <v>930</v>
      </c>
      <c r="E6" s="34">
        <f t="shared" si="0"/>
        <v>0.76859504132231404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27" t="s">
        <v>45</v>
      </c>
      <c r="C7" s="27">
        <v>100</v>
      </c>
      <c r="D7" s="27">
        <f t="shared" si="1"/>
        <v>1030</v>
      </c>
      <c r="E7" s="34">
        <f t="shared" si="0"/>
        <v>0.85123966942148765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27" t="s">
        <v>55</v>
      </c>
      <c r="C8" s="27">
        <v>100</v>
      </c>
      <c r="D8" s="27">
        <f t="shared" si="1"/>
        <v>1130</v>
      </c>
      <c r="E8" s="34">
        <f t="shared" si="0"/>
        <v>0.93388429752066116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27" t="s">
        <v>280</v>
      </c>
      <c r="C9" s="27">
        <v>60</v>
      </c>
      <c r="D9" s="27">
        <f t="shared" si="1"/>
        <v>1190</v>
      </c>
      <c r="E9" s="34">
        <f t="shared" si="0"/>
        <v>0.98347107438016534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27" t="s">
        <v>254</v>
      </c>
      <c r="C10" s="27">
        <v>20</v>
      </c>
      <c r="D10" s="27">
        <f t="shared" si="1"/>
        <v>1210</v>
      </c>
      <c r="E10" s="34">
        <f t="shared" si="0"/>
        <v>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/>
      <c r="B11" s="27"/>
      <c r="C11" s="27"/>
      <c r="D11" s="27"/>
      <c r="E11" s="34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65"/>
      <c r="B12" s="66"/>
      <c r="C12" s="67"/>
      <c r="D12" s="68"/>
      <c r="E12" s="68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65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65"/>
      <c r="B14" s="66"/>
      <c r="C14" s="67"/>
      <c r="D14" s="68"/>
      <c r="E14" s="6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65"/>
      <c r="B15" s="66"/>
      <c r="C15" s="67"/>
      <c r="D15" s="68"/>
      <c r="E15" s="6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32" t="s">
        <v>281</v>
      </c>
      <c r="B16" s="33" t="s">
        <v>282</v>
      </c>
      <c r="C16" s="33" t="s">
        <v>29</v>
      </c>
      <c r="D16" s="33" t="s">
        <v>278</v>
      </c>
      <c r="E16" s="33" t="s">
        <v>279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1</v>
      </c>
      <c r="B17" s="27" t="s">
        <v>270</v>
      </c>
      <c r="C17" s="27">
        <v>190</v>
      </c>
      <c r="D17" s="27">
        <v>160</v>
      </c>
      <c r="E17" s="34">
        <f t="shared" ref="E17:E20" si="2">D17/$D$20</f>
        <v>0.42105263157894735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7">
        <v>2</v>
      </c>
      <c r="B18" s="27" t="s">
        <v>265</v>
      </c>
      <c r="C18" s="27">
        <v>120</v>
      </c>
      <c r="D18" s="27">
        <f t="shared" ref="D18:D20" si="3">D17+C18</f>
        <v>280</v>
      </c>
      <c r="E18" s="34">
        <f t="shared" si="2"/>
        <v>0.73684210526315785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7">
        <v>3</v>
      </c>
      <c r="B19" s="27" t="s">
        <v>250</v>
      </c>
      <c r="C19" s="27">
        <v>60</v>
      </c>
      <c r="D19" s="27">
        <f t="shared" si="3"/>
        <v>340</v>
      </c>
      <c r="E19" s="34">
        <f t="shared" si="2"/>
        <v>0.89473684210526316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7">
        <v>4</v>
      </c>
      <c r="B20" s="27" t="s">
        <v>250</v>
      </c>
      <c r="C20" s="27">
        <v>40</v>
      </c>
      <c r="D20" s="27">
        <f t="shared" si="3"/>
        <v>380</v>
      </c>
      <c r="E20" s="34">
        <f t="shared" si="2"/>
        <v>1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7"/>
      <c r="B21" s="27"/>
      <c r="C21" s="27"/>
      <c r="D21" s="27"/>
      <c r="E21" s="34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27"/>
      <c r="B22" s="27"/>
      <c r="C22" s="27"/>
      <c r="D22" s="27"/>
      <c r="E22" s="34"/>
      <c r="F22" s="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27"/>
      <c r="B23" s="27"/>
      <c r="C23" s="27"/>
      <c r="D23" s="27"/>
      <c r="E23" s="34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27"/>
      <c r="B24" s="27"/>
      <c r="C24" s="27"/>
      <c r="D24" s="27"/>
      <c r="E24" s="3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69"/>
      <c r="B25" s="70"/>
      <c r="C25" s="51"/>
      <c r="D25" s="61"/>
      <c r="E25" s="61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8.75" customHeight="1" x14ac:dyDescent="0.25">
      <c r="A26" s="69"/>
      <c r="B26" s="70"/>
      <c r="C26" s="51"/>
      <c r="D26" s="61"/>
      <c r="E26" s="61"/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8.75" customHeight="1" x14ac:dyDescent="0.25">
      <c r="A27" s="69"/>
      <c r="B27" s="70"/>
      <c r="C27" s="51"/>
      <c r="D27" s="61"/>
      <c r="E27" s="61"/>
      <c r="F27" s="49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8.75" customHeight="1" x14ac:dyDescent="0.25">
      <c r="A28" s="69"/>
      <c r="B28" s="70"/>
      <c r="C28" s="51"/>
      <c r="D28" s="61"/>
      <c r="E28" s="61"/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8.75" customHeight="1" x14ac:dyDescent="0.25">
      <c r="A29" s="71"/>
      <c r="B29" s="70"/>
      <c r="C29" s="51"/>
      <c r="D29" s="61"/>
      <c r="E29" s="61"/>
      <c r="F29" s="72"/>
      <c r="G29" s="67"/>
      <c r="H29" s="67"/>
      <c r="I29" s="67"/>
      <c r="J29" s="67"/>
      <c r="K29" s="50"/>
      <c r="L29" s="50"/>
      <c r="M29" s="50"/>
      <c r="N29" s="50"/>
      <c r="O29" s="50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x14ac:dyDescent="0.25">
      <c r="A30" s="162" t="s">
        <v>148</v>
      </c>
      <c r="B30" s="163" t="s">
        <v>158</v>
      </c>
      <c r="C30" s="163" t="s">
        <v>159</v>
      </c>
      <c r="D30" s="161" t="s">
        <v>160</v>
      </c>
      <c r="E30" s="161" t="s">
        <v>161</v>
      </c>
      <c r="F30" s="161" t="s">
        <v>162</v>
      </c>
      <c r="G30" s="161" t="s">
        <v>163</v>
      </c>
      <c r="H30" s="161" t="s">
        <v>164</v>
      </c>
      <c r="I30" s="161" t="s">
        <v>162</v>
      </c>
      <c r="J30" s="161" t="s">
        <v>163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x14ac:dyDescent="0.25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51.75" x14ac:dyDescent="0.25">
      <c r="A32" s="14">
        <v>1</v>
      </c>
      <c r="B32" s="73" t="s">
        <v>270</v>
      </c>
      <c r="C32" s="29" t="s">
        <v>283</v>
      </c>
      <c r="D32" s="74" t="s">
        <v>284</v>
      </c>
      <c r="E32" s="74" t="s">
        <v>285</v>
      </c>
      <c r="F32" s="74" t="s">
        <v>286</v>
      </c>
      <c r="G32" s="74" t="s">
        <v>287</v>
      </c>
      <c r="H32" s="74" t="s">
        <v>288</v>
      </c>
      <c r="I32" s="74" t="s">
        <v>287</v>
      </c>
      <c r="J32" s="74" t="s">
        <v>169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26.25" x14ac:dyDescent="0.25">
      <c r="A33" s="14">
        <v>2</v>
      </c>
      <c r="B33" s="73" t="s">
        <v>265</v>
      </c>
      <c r="C33" s="29" t="s">
        <v>283</v>
      </c>
      <c r="D33" s="74" t="s">
        <v>289</v>
      </c>
      <c r="E33" s="74" t="s">
        <v>290</v>
      </c>
      <c r="F33" s="74" t="s">
        <v>286</v>
      </c>
      <c r="G33" s="74" t="s">
        <v>287</v>
      </c>
      <c r="H33" s="74" t="s">
        <v>291</v>
      </c>
      <c r="I33" s="74" t="s">
        <v>287</v>
      </c>
      <c r="J33" s="74" t="s">
        <v>169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14">
        <v>3</v>
      </c>
      <c r="B34" s="73" t="s">
        <v>250</v>
      </c>
      <c r="C34" s="29" t="s">
        <v>292</v>
      </c>
      <c r="D34" s="74" t="s">
        <v>293</v>
      </c>
      <c r="E34" s="74" t="s">
        <v>294</v>
      </c>
      <c r="F34" s="74" t="s">
        <v>286</v>
      </c>
      <c r="G34" s="74" t="s">
        <v>287</v>
      </c>
      <c r="H34" s="74" t="s">
        <v>295</v>
      </c>
      <c r="I34" s="74" t="s">
        <v>287</v>
      </c>
      <c r="J34" s="74" t="s">
        <v>169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14">
        <v>4</v>
      </c>
      <c r="B35" s="73" t="s">
        <v>250</v>
      </c>
      <c r="C35" s="29" t="s">
        <v>292</v>
      </c>
      <c r="D35" s="74" t="s">
        <v>293</v>
      </c>
      <c r="E35" s="74" t="s">
        <v>294</v>
      </c>
      <c r="F35" s="74" t="s">
        <v>286</v>
      </c>
      <c r="G35" s="74" t="s">
        <v>287</v>
      </c>
      <c r="H35" s="74" t="s">
        <v>295</v>
      </c>
      <c r="I35" s="74" t="s">
        <v>287</v>
      </c>
      <c r="J35" s="74" t="s">
        <v>169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75"/>
      <c r="B36" s="70"/>
      <c r="C36" s="51"/>
      <c r="D36" s="61"/>
      <c r="E36" s="6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32" t="s">
        <v>281</v>
      </c>
      <c r="B37" s="33" t="s">
        <v>296</v>
      </c>
      <c r="C37" s="33" t="s">
        <v>29</v>
      </c>
      <c r="D37" s="33" t="s">
        <v>278</v>
      </c>
      <c r="E37" s="33" t="s">
        <v>279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7">
        <v>1</v>
      </c>
      <c r="B38" s="27" t="s">
        <v>246</v>
      </c>
      <c r="C38" s="27">
        <v>60</v>
      </c>
      <c r="D38" s="27">
        <f>C38</f>
        <v>60</v>
      </c>
      <c r="E38" s="34">
        <f t="shared" ref="E38:E43" si="4">D38/$D$43</f>
        <v>0.32432432432432434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27">
        <v>2</v>
      </c>
      <c r="B39" s="27" t="s">
        <v>261</v>
      </c>
      <c r="C39" s="27">
        <v>30</v>
      </c>
      <c r="D39" s="27">
        <f t="shared" ref="D39:D43" si="5">D38+C39</f>
        <v>90</v>
      </c>
      <c r="E39" s="34">
        <f t="shared" si="4"/>
        <v>0.48648648648648651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27">
        <v>3</v>
      </c>
      <c r="B40" s="27" t="s">
        <v>277</v>
      </c>
      <c r="C40" s="27">
        <v>30</v>
      </c>
      <c r="D40" s="27">
        <f t="shared" si="5"/>
        <v>120</v>
      </c>
      <c r="E40" s="34">
        <f t="shared" si="4"/>
        <v>0.64864864864864868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27">
        <v>4</v>
      </c>
      <c r="B41" s="27" t="s">
        <v>243</v>
      </c>
      <c r="C41" s="27">
        <v>25</v>
      </c>
      <c r="D41" s="27">
        <f t="shared" si="5"/>
        <v>145</v>
      </c>
      <c r="E41" s="34">
        <f t="shared" si="4"/>
        <v>0.78378378378378377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27">
        <v>5</v>
      </c>
      <c r="B42" s="27" t="s">
        <v>267</v>
      </c>
      <c r="C42" s="27">
        <v>20</v>
      </c>
      <c r="D42" s="27">
        <f t="shared" si="5"/>
        <v>165</v>
      </c>
      <c r="E42" s="34">
        <f t="shared" si="4"/>
        <v>0.89189189189189189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27">
        <v>6</v>
      </c>
      <c r="B43" s="27" t="s">
        <v>268</v>
      </c>
      <c r="C43" s="27">
        <v>20</v>
      </c>
      <c r="D43" s="27">
        <f t="shared" si="5"/>
        <v>185</v>
      </c>
      <c r="E43" s="34">
        <f t="shared" si="4"/>
        <v>1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75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75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75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75"/>
      <c r="B47" s="70"/>
      <c r="C47" s="51"/>
      <c r="D47" s="61"/>
      <c r="E47" s="6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75"/>
      <c r="B48" s="70"/>
      <c r="C48" s="51"/>
      <c r="D48" s="61"/>
      <c r="E48" s="6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5"/>
      <c r="B49" s="70"/>
      <c r="C49" s="51"/>
      <c r="D49" s="61"/>
      <c r="E49" s="6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5">
      <c r="A50" s="75"/>
      <c r="B50" s="70"/>
      <c r="C50" s="51"/>
      <c r="D50" s="61"/>
      <c r="E50" s="6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165" t="s">
        <v>148</v>
      </c>
      <c r="B51" s="166" t="s">
        <v>158</v>
      </c>
      <c r="C51" s="166" t="s">
        <v>159</v>
      </c>
      <c r="D51" s="164" t="s">
        <v>160</v>
      </c>
      <c r="E51" s="164" t="s">
        <v>161</v>
      </c>
      <c r="F51" s="164" t="s">
        <v>162</v>
      </c>
      <c r="G51" s="164" t="s">
        <v>163</v>
      </c>
      <c r="H51" s="164" t="s">
        <v>164</v>
      </c>
      <c r="I51" s="164" t="s">
        <v>162</v>
      </c>
      <c r="J51" s="164" t="s">
        <v>163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14">
        <v>1</v>
      </c>
      <c r="B53" s="73" t="s">
        <v>246</v>
      </c>
      <c r="C53" s="29" t="s">
        <v>283</v>
      </c>
      <c r="D53" s="29" t="s">
        <v>297</v>
      </c>
      <c r="E53" s="29" t="s">
        <v>298</v>
      </c>
      <c r="F53" s="29" t="s">
        <v>286</v>
      </c>
      <c r="G53" s="29" t="s">
        <v>299</v>
      </c>
      <c r="H53" s="29" t="s">
        <v>300</v>
      </c>
      <c r="I53" s="29" t="s">
        <v>287</v>
      </c>
      <c r="J53" s="29" t="s">
        <v>169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14">
        <v>2</v>
      </c>
      <c r="B54" s="73" t="s">
        <v>261</v>
      </c>
      <c r="C54" s="29" t="s">
        <v>283</v>
      </c>
      <c r="D54" s="29" t="s">
        <v>301</v>
      </c>
      <c r="E54" s="29" t="s">
        <v>302</v>
      </c>
      <c r="F54" s="29" t="s">
        <v>286</v>
      </c>
      <c r="G54" s="29" t="s">
        <v>299</v>
      </c>
      <c r="H54" s="29" t="s">
        <v>303</v>
      </c>
      <c r="I54" s="29" t="s">
        <v>287</v>
      </c>
      <c r="J54" s="29" t="s">
        <v>169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5">
      <c r="A55" s="14">
        <v>3</v>
      </c>
      <c r="B55" s="73" t="s">
        <v>277</v>
      </c>
      <c r="C55" s="29" t="s">
        <v>283</v>
      </c>
      <c r="D55" s="29" t="s">
        <v>304</v>
      </c>
      <c r="E55" s="29" t="s">
        <v>305</v>
      </c>
      <c r="F55" s="29" t="s">
        <v>286</v>
      </c>
      <c r="G55" s="29" t="s">
        <v>299</v>
      </c>
      <c r="H55" s="29" t="s">
        <v>306</v>
      </c>
      <c r="I55" s="29" t="s">
        <v>287</v>
      </c>
      <c r="J55" s="29" t="s">
        <v>169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5">
      <c r="A56" s="14">
        <v>4</v>
      </c>
      <c r="B56" s="73" t="s">
        <v>243</v>
      </c>
      <c r="C56" s="76" t="s">
        <v>292</v>
      </c>
      <c r="D56" s="76" t="s">
        <v>307</v>
      </c>
      <c r="E56" s="76" t="s">
        <v>298</v>
      </c>
      <c r="F56" s="76" t="s">
        <v>286</v>
      </c>
      <c r="G56" s="76" t="s">
        <v>299</v>
      </c>
      <c r="H56" s="77" t="s">
        <v>308</v>
      </c>
      <c r="I56" s="76" t="s">
        <v>287</v>
      </c>
      <c r="J56" s="76" t="s">
        <v>169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14">
        <v>5</v>
      </c>
      <c r="B57" s="73" t="s">
        <v>267</v>
      </c>
      <c r="C57" s="76" t="s">
        <v>292</v>
      </c>
      <c r="D57" s="76" t="s">
        <v>307</v>
      </c>
      <c r="E57" s="76" t="s">
        <v>298</v>
      </c>
      <c r="F57" s="76" t="s">
        <v>286</v>
      </c>
      <c r="G57" s="76" t="s">
        <v>299</v>
      </c>
      <c r="H57" s="77" t="s">
        <v>308</v>
      </c>
      <c r="I57" s="76" t="s">
        <v>287</v>
      </c>
      <c r="J57" s="76" t="s">
        <v>169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14">
        <v>6</v>
      </c>
      <c r="B58" s="73" t="s">
        <v>268</v>
      </c>
      <c r="C58" s="76" t="s">
        <v>283</v>
      </c>
      <c r="D58" s="76" t="s">
        <v>309</v>
      </c>
      <c r="E58" s="76" t="s">
        <v>310</v>
      </c>
      <c r="F58" s="76" t="s">
        <v>286</v>
      </c>
      <c r="G58" s="76" t="s">
        <v>299</v>
      </c>
      <c r="H58" s="77" t="s">
        <v>311</v>
      </c>
      <c r="I58" s="76" t="s">
        <v>287</v>
      </c>
      <c r="J58" s="76" t="s">
        <v>169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75"/>
      <c r="B59" s="78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" customHeight="1" x14ac:dyDescent="0.25">
      <c r="A60" s="79" t="s">
        <v>281</v>
      </c>
      <c r="B60" s="80" t="s">
        <v>312</v>
      </c>
      <c r="C60" s="80" t="s">
        <v>29</v>
      </c>
      <c r="D60" s="80" t="s">
        <v>278</v>
      </c>
      <c r="E60" s="80" t="s">
        <v>279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" customHeight="1" x14ac:dyDescent="0.25">
      <c r="A61" s="81">
        <v>1</v>
      </c>
      <c r="B61" s="57" t="s">
        <v>215</v>
      </c>
      <c r="C61" s="82">
        <v>60</v>
      </c>
      <c r="D61" s="8">
        <f>C61</f>
        <v>60</v>
      </c>
      <c r="E61" s="17">
        <f t="shared" ref="E61:E64" si="6">D61/$D$64</f>
        <v>0.46153846153846156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81">
        <v>2</v>
      </c>
      <c r="B62" s="57" t="s">
        <v>236</v>
      </c>
      <c r="C62" s="82">
        <v>35</v>
      </c>
      <c r="D62" s="8">
        <f t="shared" ref="D62:D64" si="7">D61+C62</f>
        <v>95</v>
      </c>
      <c r="E62" s="17">
        <f t="shared" si="6"/>
        <v>0.73076923076923073</v>
      </c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81">
        <v>3</v>
      </c>
      <c r="B63" s="57" t="s">
        <v>215</v>
      </c>
      <c r="C63" s="82">
        <v>20</v>
      </c>
      <c r="D63" s="8">
        <f t="shared" si="7"/>
        <v>115</v>
      </c>
      <c r="E63" s="17">
        <f t="shared" si="6"/>
        <v>0.88461538461538458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81"/>
      <c r="B64" s="57" t="s">
        <v>240</v>
      </c>
      <c r="C64" s="82">
        <v>15</v>
      </c>
      <c r="D64" s="8">
        <f t="shared" si="7"/>
        <v>130</v>
      </c>
      <c r="E64" s="17">
        <f t="shared" si="6"/>
        <v>1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75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75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75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75"/>
      <c r="B68" s="70"/>
      <c r="C68" s="51"/>
      <c r="D68" s="61"/>
      <c r="E68" s="6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75"/>
      <c r="B69" s="70"/>
      <c r="C69" s="51"/>
      <c r="D69" s="61"/>
      <c r="E69" s="6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5"/>
      <c r="B70" s="70"/>
      <c r="C70" s="51"/>
      <c r="D70" s="61"/>
      <c r="E70" s="6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5"/>
      <c r="B71" s="70"/>
      <c r="C71" s="51"/>
      <c r="D71" s="61"/>
      <c r="E71" s="6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5">
      <c r="A72" s="75"/>
      <c r="B72" s="70"/>
      <c r="C72" s="51"/>
      <c r="D72" s="61"/>
      <c r="E72" s="6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162" t="s">
        <v>148</v>
      </c>
      <c r="B73" s="163" t="s">
        <v>158</v>
      </c>
      <c r="C73" s="163" t="s">
        <v>159</v>
      </c>
      <c r="D73" s="161" t="s">
        <v>160</v>
      </c>
      <c r="E73" s="161" t="s">
        <v>161</v>
      </c>
      <c r="F73" s="161" t="s">
        <v>162</v>
      </c>
      <c r="G73" s="161" t="s">
        <v>163</v>
      </c>
      <c r="H73" s="161" t="s">
        <v>164</v>
      </c>
      <c r="I73" s="161" t="s">
        <v>162</v>
      </c>
      <c r="J73" s="161" t="s">
        <v>163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83">
        <v>1</v>
      </c>
      <c r="B75" s="84" t="s">
        <v>215</v>
      </c>
      <c r="C75" s="28" t="s">
        <v>283</v>
      </c>
      <c r="D75" s="28" t="s">
        <v>313</v>
      </c>
      <c r="E75" s="28" t="s">
        <v>314</v>
      </c>
      <c r="F75" s="28" t="s">
        <v>286</v>
      </c>
      <c r="G75" s="28" t="s">
        <v>287</v>
      </c>
      <c r="H75" s="28" t="s">
        <v>315</v>
      </c>
      <c r="I75" s="51" t="s">
        <v>316</v>
      </c>
      <c r="J75" s="51" t="s">
        <v>169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5">
      <c r="A76" s="83">
        <v>2</v>
      </c>
      <c r="B76" s="84" t="s">
        <v>236</v>
      </c>
      <c r="C76" s="28" t="s">
        <v>283</v>
      </c>
      <c r="D76" s="28" t="s">
        <v>317</v>
      </c>
      <c r="E76" s="28" t="s">
        <v>318</v>
      </c>
      <c r="F76" s="51" t="s">
        <v>286</v>
      </c>
      <c r="G76" s="51" t="s">
        <v>287</v>
      </c>
      <c r="H76" s="28" t="s">
        <v>319</v>
      </c>
      <c r="I76" s="28" t="s">
        <v>316</v>
      </c>
      <c r="J76" s="28" t="s">
        <v>320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5">
      <c r="A77" s="83">
        <v>3</v>
      </c>
      <c r="B77" s="84" t="s">
        <v>215</v>
      </c>
      <c r="C77" s="28" t="s">
        <v>283</v>
      </c>
      <c r="D77" s="28" t="s">
        <v>313</v>
      </c>
      <c r="E77" s="28" t="s">
        <v>314</v>
      </c>
      <c r="F77" s="28" t="s">
        <v>286</v>
      </c>
      <c r="G77" s="28" t="s">
        <v>287</v>
      </c>
      <c r="H77" s="28" t="s">
        <v>315</v>
      </c>
      <c r="I77" s="51" t="s">
        <v>316</v>
      </c>
      <c r="J77" s="51" t="s">
        <v>169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51">
        <v>4</v>
      </c>
      <c r="B78" s="84" t="s">
        <v>240</v>
      </c>
      <c r="C78" s="51" t="s">
        <v>283</v>
      </c>
      <c r="D78" s="51" t="s">
        <v>321</v>
      </c>
      <c r="E78" s="85" t="s">
        <v>322</v>
      </c>
      <c r="F78" s="51" t="s">
        <v>286</v>
      </c>
      <c r="G78" s="51" t="s">
        <v>287</v>
      </c>
      <c r="H78" s="85" t="s">
        <v>323</v>
      </c>
      <c r="I78" s="51" t="s">
        <v>286</v>
      </c>
      <c r="J78" s="51" t="s">
        <v>287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75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75"/>
      <c r="B81" s="70"/>
      <c r="C81" s="51"/>
      <c r="D81" s="61"/>
      <c r="E81" s="6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75"/>
      <c r="B82" s="70"/>
      <c r="C82" s="51"/>
      <c r="D82" s="61"/>
      <c r="E82" s="6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5"/>
      <c r="B83" s="70"/>
      <c r="C83" s="51"/>
      <c r="D83" s="61"/>
      <c r="E83" s="6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5"/>
      <c r="B84" s="70"/>
      <c r="C84" s="51"/>
      <c r="D84" s="61"/>
      <c r="E84" s="6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75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75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75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75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75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75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75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75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75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75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75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75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75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75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75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75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75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75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75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75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75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75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75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75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75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75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75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75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75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75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75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75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75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75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75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75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75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75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75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75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75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75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75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75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75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75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75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75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75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75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75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75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75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75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75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75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75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75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75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75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75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75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75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75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75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75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75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75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75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75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75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75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75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75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75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75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75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75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75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75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75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75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75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75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75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75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75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75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75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75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75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75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75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75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75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75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75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75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75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75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75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75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75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75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75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75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75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75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75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75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75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75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75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75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75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75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75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75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75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75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75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75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75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75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75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75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75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75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75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75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75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75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75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75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75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75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75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75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75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75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75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75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75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75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75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75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75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75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75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75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75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75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75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75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75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75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75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75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75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75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75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75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75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75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75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75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75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75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75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75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75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75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75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75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75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75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75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75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75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75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75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75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75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75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75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75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75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75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75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75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75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75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75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75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75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75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75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75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75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75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75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75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75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75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75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75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75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75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75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75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75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75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75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75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75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75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75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75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75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75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75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75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75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75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75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75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75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75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75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75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75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75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75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75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75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75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75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75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75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75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75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75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75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75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75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75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75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75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75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75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75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75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75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75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75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75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75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75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75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75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75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75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75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75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75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75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75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75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75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75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75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75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75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75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75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75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75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75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75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75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75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75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75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75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75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75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75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75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75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75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75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75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75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75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75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75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75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75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75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75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75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75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75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75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75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75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75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75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75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75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75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75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75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75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75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75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75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75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75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75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75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75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75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75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75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75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75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75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75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75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75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75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75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75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75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75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75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75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75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75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75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75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75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75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75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75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75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75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75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75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75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75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75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75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75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75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75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75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75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75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75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75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75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75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75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75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75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75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75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75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75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75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75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75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75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75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75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75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75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75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75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75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75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75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75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75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75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75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75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75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75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75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75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75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75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75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75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75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75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75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75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75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75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75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75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75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75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75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75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75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75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75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75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75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75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75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75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75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75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75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75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75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75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75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75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75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75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75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75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75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75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75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75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75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75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75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75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75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75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75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75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75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75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75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75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75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75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75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75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75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75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75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75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75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75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75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75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75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75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75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75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75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75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75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75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75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75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75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75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75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75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75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75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75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75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75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75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75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75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75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75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75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75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75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75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75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75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75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75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75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75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75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75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75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75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75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75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75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75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75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75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75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75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75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75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75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75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75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75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75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75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75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75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75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75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75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75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75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75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75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75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75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75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75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75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75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75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75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75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75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75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75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75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75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75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75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75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75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75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75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75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75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75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75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75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75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75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75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75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75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75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75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75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75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75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75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75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75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75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75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75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75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75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75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75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75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75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75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75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75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75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75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75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75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75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75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75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75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75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75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75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75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75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75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75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75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75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75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75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75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75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75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75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75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75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75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75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75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75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75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75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75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75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75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75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75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75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75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75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75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75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75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75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75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75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75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75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75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75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75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75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75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75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75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75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75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75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75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75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75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75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75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75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75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75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75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75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75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75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75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75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75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75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75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75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75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75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75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75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75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75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75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75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75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75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75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75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75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75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75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75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75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75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75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75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75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75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75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75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75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75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75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75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75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75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75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75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75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75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75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75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75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75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75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75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75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75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75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75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75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75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75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75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75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75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75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75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75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75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75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75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75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75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75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75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75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75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75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75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75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75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75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75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75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75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75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75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75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75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75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75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75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75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75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75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75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75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75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75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75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75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75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75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75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75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75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75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75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75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75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75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75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75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75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75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75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75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75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75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75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75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75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75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75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75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75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75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75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75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75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75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75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75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75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75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75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75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75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75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75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75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75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75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75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75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75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75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75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75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75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75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75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75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75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75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75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75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75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75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75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75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75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75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75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75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75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75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75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75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75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75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75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75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75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75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75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75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75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75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75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75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75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75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75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75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75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75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75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75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75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75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75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75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75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75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75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75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75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75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75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75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75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75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75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75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75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75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75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75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75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75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75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75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75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75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75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75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75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75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75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75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75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75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75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75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75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75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75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75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75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75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75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75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75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75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75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75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75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75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75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75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75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75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75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75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75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75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75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75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75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75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75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75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75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75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75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75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75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75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75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75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75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75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75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75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75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75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75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75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75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75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75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75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75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75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75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75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75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75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75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75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75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75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75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75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75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75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75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75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75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spans="1:26" ht="15.75" customHeight="1" x14ac:dyDescent="0.25">
      <c r="A1005" s="75"/>
      <c r="B1005" s="70"/>
      <c r="C1005" s="51"/>
      <c r="D1005" s="61"/>
      <c r="E1005" s="6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spans="1:26" ht="15.75" customHeight="1" x14ac:dyDescent="0.25">
      <c r="A1006" s="75"/>
      <c r="B1006" s="70"/>
      <c r="C1006" s="51"/>
      <c r="D1006" s="61"/>
      <c r="E1006" s="6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 spans="1:26" ht="15.75" customHeight="1" x14ac:dyDescent="0.25">
      <c r="A1007" s="75"/>
      <c r="B1007" s="70"/>
      <c r="C1007" s="51"/>
      <c r="D1007" s="61"/>
      <c r="E1007" s="6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 spans="1:26" ht="15.75" customHeight="1" x14ac:dyDescent="0.25">
      <c r="A1008" s="75"/>
      <c r="B1008" s="70"/>
      <c r="C1008" s="51"/>
      <c r="D1008" s="61"/>
      <c r="E1008" s="6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 spans="1:26" ht="15.75" customHeight="1" x14ac:dyDescent="0.25">
      <c r="A1009" s="75"/>
      <c r="B1009" s="70"/>
      <c r="C1009" s="51"/>
      <c r="D1009" s="61"/>
      <c r="E1009" s="6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 spans="1:26" ht="15.75" customHeight="1" x14ac:dyDescent="0.25">
      <c r="A1010" s="75"/>
      <c r="B1010" s="70"/>
      <c r="C1010" s="51"/>
      <c r="D1010" s="61"/>
      <c r="E1010" s="6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 spans="1:26" ht="15.75" customHeight="1" x14ac:dyDescent="0.25">
      <c r="A1011" s="75"/>
      <c r="B1011" s="70"/>
      <c r="C1011" s="51"/>
      <c r="D1011" s="61"/>
      <c r="E1011" s="6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 spans="1:26" ht="15.75" customHeight="1" x14ac:dyDescent="0.25">
      <c r="A1012" s="75"/>
      <c r="B1012" s="70"/>
      <c r="C1012" s="51"/>
      <c r="D1012" s="61"/>
      <c r="E1012" s="6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 spans="1:26" ht="15.75" customHeight="1" x14ac:dyDescent="0.25">
      <c r="A1013" s="75"/>
      <c r="B1013" s="70"/>
      <c r="C1013" s="51"/>
      <c r="D1013" s="61"/>
      <c r="E1013" s="6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</sheetData>
  <mergeCells count="30">
    <mergeCell ref="H73:H74"/>
    <mergeCell ref="I73:I74"/>
    <mergeCell ref="J73:J74"/>
    <mergeCell ref="A73:A74"/>
    <mergeCell ref="B73:B74"/>
    <mergeCell ref="C73:C74"/>
    <mergeCell ref="D73:D74"/>
    <mergeCell ref="E73:E74"/>
    <mergeCell ref="F73:F74"/>
    <mergeCell ref="G73:G74"/>
    <mergeCell ref="H51:H52"/>
    <mergeCell ref="I51:I52"/>
    <mergeCell ref="J51:J52"/>
    <mergeCell ref="A51:A52"/>
    <mergeCell ref="B51:B52"/>
    <mergeCell ref="C51:C52"/>
    <mergeCell ref="D51:D52"/>
    <mergeCell ref="E51:E52"/>
    <mergeCell ref="F51:F52"/>
    <mergeCell ref="G51:G52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>
      <pane ySplit="1" topLeftCell="A16" activePane="bottomLeft" state="frozen"/>
      <selection pane="bottomLeft" activeCell="C40" sqref="C40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0.42578125" customWidth="1"/>
    <col min="5" max="5" width="14.28515625" customWidth="1"/>
    <col min="6" max="6" width="20.42578125" customWidth="1"/>
    <col min="7" max="7" width="18" customWidth="1"/>
    <col min="8" max="8" width="12.85546875" customWidth="1"/>
    <col min="9" max="20" width="9.140625" customWidth="1"/>
    <col min="21" max="22" width="8.710937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1</v>
      </c>
      <c r="E1" s="47" t="s">
        <v>149</v>
      </c>
      <c r="F1" s="47" t="s">
        <v>205</v>
      </c>
      <c r="G1" s="47" t="s">
        <v>206</v>
      </c>
      <c r="H1" s="47" t="s">
        <v>29</v>
      </c>
      <c r="I1" s="48"/>
      <c r="J1" s="49"/>
      <c r="K1" s="50"/>
      <c r="L1" s="50"/>
      <c r="M1" s="50"/>
      <c r="N1" s="50"/>
      <c r="O1" s="50"/>
      <c r="P1" s="50"/>
      <c r="Q1" s="50"/>
      <c r="R1" s="50"/>
      <c r="S1" s="50"/>
      <c r="T1" s="50"/>
      <c r="U1" s="51"/>
      <c r="V1" s="51"/>
    </row>
    <row r="2" spans="1:22" ht="18.75" customHeight="1" x14ac:dyDescent="0.25">
      <c r="A2" s="60" t="s">
        <v>324</v>
      </c>
      <c r="B2" s="29" t="s">
        <v>31</v>
      </c>
      <c r="C2" s="28" t="s">
        <v>325</v>
      </c>
      <c r="D2" s="28" t="s">
        <v>33</v>
      </c>
      <c r="E2" s="28" t="s">
        <v>41</v>
      </c>
      <c r="F2" s="28" t="s">
        <v>326</v>
      </c>
      <c r="G2" s="28" t="s">
        <v>327</v>
      </c>
      <c r="H2" s="29">
        <v>120</v>
      </c>
      <c r="I2" s="48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  <c r="V2" s="51"/>
    </row>
    <row r="3" spans="1:22" ht="18.75" customHeight="1" x14ac:dyDescent="0.25">
      <c r="A3" s="60" t="s">
        <v>324</v>
      </c>
      <c r="B3" s="29" t="s">
        <v>31</v>
      </c>
      <c r="C3" s="28" t="s">
        <v>328</v>
      </c>
      <c r="D3" s="28" t="s">
        <v>33</v>
      </c>
      <c r="E3" s="28" t="s">
        <v>329</v>
      </c>
      <c r="F3" s="28" t="s">
        <v>330</v>
      </c>
      <c r="G3" s="28" t="s">
        <v>331</v>
      </c>
      <c r="H3" s="29">
        <v>120</v>
      </c>
      <c r="I3" s="48"/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51"/>
    </row>
    <row r="4" spans="1:22" ht="18.75" customHeight="1" x14ac:dyDescent="0.25">
      <c r="A4" s="60" t="s">
        <v>324</v>
      </c>
      <c r="B4" s="29" t="s">
        <v>31</v>
      </c>
      <c r="C4" s="28" t="s">
        <v>332</v>
      </c>
      <c r="D4" s="28" t="s">
        <v>33</v>
      </c>
      <c r="E4" s="28" t="s">
        <v>333</v>
      </c>
      <c r="F4" s="28" t="s">
        <v>334</v>
      </c>
      <c r="G4" s="28" t="s">
        <v>334</v>
      </c>
      <c r="H4" s="29">
        <v>45</v>
      </c>
      <c r="I4" s="48"/>
      <c r="J4" s="49"/>
      <c r="K4" s="50"/>
      <c r="L4" s="50"/>
      <c r="M4" s="50"/>
      <c r="N4" s="50"/>
      <c r="O4" s="50"/>
      <c r="P4" s="50"/>
      <c r="Q4" s="50"/>
      <c r="R4" s="50"/>
      <c r="S4" s="50"/>
      <c r="T4" s="50"/>
      <c r="U4" s="51"/>
      <c r="V4" s="51"/>
    </row>
    <row r="5" spans="1:22" ht="18.75" customHeight="1" x14ac:dyDescent="0.25">
      <c r="A5" s="60" t="s">
        <v>324</v>
      </c>
      <c r="B5" s="29" t="s">
        <v>31</v>
      </c>
      <c r="C5" s="28" t="s">
        <v>335</v>
      </c>
      <c r="D5" s="28" t="s">
        <v>33</v>
      </c>
      <c r="E5" s="28" t="s">
        <v>220</v>
      </c>
      <c r="F5" s="28" t="s">
        <v>336</v>
      </c>
      <c r="G5" s="28" t="s">
        <v>337</v>
      </c>
      <c r="H5" s="29">
        <v>60</v>
      </c>
      <c r="I5" s="48"/>
      <c r="J5" s="49"/>
      <c r="K5" s="50"/>
      <c r="L5" s="50"/>
      <c r="M5" s="50"/>
      <c r="N5" s="50"/>
      <c r="O5" s="50"/>
      <c r="P5" s="50"/>
      <c r="Q5" s="50"/>
      <c r="R5" s="50"/>
      <c r="S5" s="50"/>
      <c r="T5" s="50"/>
      <c r="U5" s="51"/>
      <c r="V5" s="51"/>
    </row>
    <row r="6" spans="1:22" ht="18.75" customHeight="1" x14ac:dyDescent="0.25">
      <c r="A6" s="60" t="s">
        <v>324</v>
      </c>
      <c r="B6" s="29" t="s">
        <v>31</v>
      </c>
      <c r="C6" s="28" t="s">
        <v>338</v>
      </c>
      <c r="D6" s="28" t="s">
        <v>5</v>
      </c>
      <c r="E6" s="28" t="s">
        <v>339</v>
      </c>
      <c r="F6" s="28" t="s">
        <v>330</v>
      </c>
      <c r="G6" s="28" t="s">
        <v>340</v>
      </c>
      <c r="H6" s="29">
        <v>60</v>
      </c>
      <c r="I6" s="48"/>
      <c r="J6" s="49"/>
      <c r="K6" s="50"/>
      <c r="L6" s="50"/>
      <c r="M6" s="50"/>
      <c r="N6" s="50"/>
      <c r="O6" s="50"/>
      <c r="P6" s="50"/>
      <c r="Q6" s="50"/>
      <c r="R6" s="50"/>
      <c r="S6" s="50"/>
      <c r="T6" s="50"/>
      <c r="U6" s="51"/>
      <c r="V6" s="51"/>
    </row>
    <row r="7" spans="1:22" ht="18.75" customHeight="1" x14ac:dyDescent="0.25">
      <c r="A7" s="60" t="s">
        <v>324</v>
      </c>
      <c r="B7" s="29" t="s">
        <v>31</v>
      </c>
      <c r="C7" s="28" t="s">
        <v>341</v>
      </c>
      <c r="D7" s="28" t="s">
        <v>254</v>
      </c>
      <c r="E7" s="28" t="s">
        <v>274</v>
      </c>
      <c r="F7" s="28" t="s">
        <v>342</v>
      </c>
      <c r="G7" s="28" t="s">
        <v>343</v>
      </c>
      <c r="H7" s="29">
        <v>140</v>
      </c>
      <c r="I7" s="48"/>
      <c r="J7" s="49"/>
      <c r="K7" s="50"/>
      <c r="L7" s="50"/>
      <c r="M7" s="50"/>
      <c r="N7" s="50"/>
      <c r="O7" s="50"/>
      <c r="P7" s="50"/>
      <c r="Q7" s="50"/>
      <c r="R7" s="50"/>
      <c r="S7" s="50"/>
      <c r="T7" s="50"/>
      <c r="U7" s="51"/>
      <c r="V7" s="51"/>
    </row>
    <row r="8" spans="1:22" ht="18.75" customHeight="1" x14ac:dyDescent="0.25">
      <c r="A8" s="60" t="s">
        <v>324</v>
      </c>
      <c r="B8" s="29" t="s">
        <v>37</v>
      </c>
      <c r="C8" s="28" t="s">
        <v>62</v>
      </c>
      <c r="D8" s="28" t="s">
        <v>33</v>
      </c>
      <c r="E8" s="28" t="s">
        <v>37</v>
      </c>
      <c r="F8" s="28" t="s">
        <v>213</v>
      </c>
      <c r="G8" s="28" t="s">
        <v>213</v>
      </c>
      <c r="H8" s="29">
        <v>40</v>
      </c>
      <c r="I8" s="48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1"/>
      <c r="V8" s="51"/>
    </row>
    <row r="9" spans="1:22" ht="18.75" customHeight="1" x14ac:dyDescent="0.25">
      <c r="A9" s="60" t="s">
        <v>324</v>
      </c>
      <c r="B9" s="29" t="s">
        <v>37</v>
      </c>
      <c r="C9" s="28" t="s">
        <v>344</v>
      </c>
      <c r="D9" s="28" t="s">
        <v>5</v>
      </c>
      <c r="E9" s="28" t="s">
        <v>339</v>
      </c>
      <c r="F9" s="28" t="s">
        <v>330</v>
      </c>
      <c r="G9" s="28" t="s">
        <v>340</v>
      </c>
      <c r="H9" s="29">
        <v>40</v>
      </c>
      <c r="I9" s="48"/>
      <c r="J9" s="49"/>
      <c r="K9" s="50"/>
      <c r="L9" s="50"/>
      <c r="M9" s="50"/>
      <c r="N9" s="50"/>
      <c r="O9" s="50"/>
      <c r="P9" s="50"/>
      <c r="Q9" s="50"/>
      <c r="R9" s="50"/>
      <c r="S9" s="50"/>
      <c r="T9" s="50"/>
      <c r="U9" s="51"/>
      <c r="V9" s="51"/>
    </row>
    <row r="10" spans="1:22" ht="18.75" customHeight="1" x14ac:dyDescent="0.25">
      <c r="A10" s="60" t="s">
        <v>345</v>
      </c>
      <c r="B10" s="29" t="s">
        <v>31</v>
      </c>
      <c r="C10" s="28" t="s">
        <v>346</v>
      </c>
      <c r="D10" s="28" t="s">
        <v>5</v>
      </c>
      <c r="E10" s="28" t="s">
        <v>329</v>
      </c>
      <c r="F10" s="28" t="s">
        <v>347</v>
      </c>
      <c r="G10" s="28" t="s">
        <v>348</v>
      </c>
      <c r="H10" s="29">
        <v>105</v>
      </c>
      <c r="I10" s="48"/>
      <c r="J10" s="49"/>
      <c r="K10" s="28"/>
      <c r="L10" s="50"/>
      <c r="M10" s="50"/>
      <c r="N10" s="50"/>
      <c r="O10" s="50"/>
      <c r="P10" s="50"/>
      <c r="Q10" s="50"/>
      <c r="R10" s="50"/>
      <c r="S10" s="50"/>
      <c r="T10" s="50"/>
      <c r="U10" s="51"/>
      <c r="V10" s="51"/>
    </row>
    <row r="11" spans="1:22" ht="18.75" customHeight="1" x14ac:dyDescent="0.25">
      <c r="A11" s="60" t="s">
        <v>349</v>
      </c>
      <c r="B11" s="29" t="s">
        <v>31</v>
      </c>
      <c r="C11" s="28" t="s">
        <v>350</v>
      </c>
      <c r="D11" s="28" t="s">
        <v>5</v>
      </c>
      <c r="E11" s="28" t="s">
        <v>351</v>
      </c>
      <c r="F11" s="28" t="s">
        <v>352</v>
      </c>
      <c r="G11" s="28" t="s">
        <v>353</v>
      </c>
      <c r="H11" s="29">
        <v>40</v>
      </c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  <c r="V11" s="51"/>
    </row>
    <row r="12" spans="1:22" ht="18.75" customHeight="1" x14ac:dyDescent="0.25">
      <c r="A12" s="60" t="s">
        <v>349</v>
      </c>
      <c r="B12" s="29" t="s">
        <v>37</v>
      </c>
      <c r="C12" s="28" t="s">
        <v>350</v>
      </c>
      <c r="D12" s="28" t="s">
        <v>5</v>
      </c>
      <c r="E12" s="28" t="s">
        <v>351</v>
      </c>
      <c r="F12" s="28" t="s">
        <v>352</v>
      </c>
      <c r="G12" s="28" t="s">
        <v>353</v>
      </c>
      <c r="H12" s="29">
        <v>50</v>
      </c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1"/>
      <c r="V12" s="51"/>
    </row>
    <row r="13" spans="1:22" ht="18.75" customHeight="1" x14ac:dyDescent="0.25">
      <c r="A13" s="60" t="s">
        <v>354</v>
      </c>
      <c r="B13" s="29" t="s">
        <v>37</v>
      </c>
      <c r="C13" s="28" t="s">
        <v>355</v>
      </c>
      <c r="D13" s="28" t="s">
        <v>33</v>
      </c>
      <c r="E13" s="28" t="s">
        <v>41</v>
      </c>
      <c r="F13" s="28" t="s">
        <v>356</v>
      </c>
      <c r="G13" s="28" t="s">
        <v>356</v>
      </c>
      <c r="H13" s="29">
        <v>40</v>
      </c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1"/>
      <c r="V13" s="51"/>
    </row>
    <row r="14" spans="1:22" ht="18.75" customHeight="1" x14ac:dyDescent="0.25">
      <c r="A14" s="60" t="s">
        <v>354</v>
      </c>
      <c r="B14" s="29" t="s">
        <v>37</v>
      </c>
      <c r="C14" s="28" t="s">
        <v>357</v>
      </c>
      <c r="D14" s="28" t="s">
        <v>33</v>
      </c>
      <c r="E14" s="28" t="s">
        <v>37</v>
      </c>
      <c r="F14" s="28" t="s">
        <v>213</v>
      </c>
      <c r="G14" s="28" t="s">
        <v>213</v>
      </c>
      <c r="H14" s="29">
        <v>20</v>
      </c>
      <c r="I14" s="48"/>
      <c r="J14" s="49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1"/>
      <c r="V14" s="51"/>
    </row>
    <row r="15" spans="1:22" ht="18.75" customHeight="1" x14ac:dyDescent="0.25">
      <c r="A15" s="60" t="s">
        <v>358</v>
      </c>
      <c r="B15" s="29" t="s">
        <v>37</v>
      </c>
      <c r="C15" s="28" t="s">
        <v>359</v>
      </c>
      <c r="D15" s="28" t="s">
        <v>13</v>
      </c>
      <c r="E15" s="28" t="s">
        <v>329</v>
      </c>
      <c r="F15" s="28" t="s">
        <v>251</v>
      </c>
      <c r="G15" s="28" t="s">
        <v>251</v>
      </c>
      <c r="H15" s="29">
        <v>30</v>
      </c>
      <c r="I15" s="48"/>
      <c r="J15" s="49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1"/>
      <c r="V15" s="51"/>
    </row>
    <row r="16" spans="1:22" ht="18.75" customHeight="1" x14ac:dyDescent="0.25">
      <c r="A16" s="60" t="s">
        <v>360</v>
      </c>
      <c r="B16" s="29" t="s">
        <v>31</v>
      </c>
      <c r="C16" s="28" t="s">
        <v>361</v>
      </c>
      <c r="D16" s="28" t="s">
        <v>33</v>
      </c>
      <c r="E16" s="28" t="s">
        <v>329</v>
      </c>
      <c r="F16" s="28" t="s">
        <v>356</v>
      </c>
      <c r="G16" s="28" t="s">
        <v>356</v>
      </c>
      <c r="H16" s="29">
        <v>320</v>
      </c>
      <c r="I16" s="48"/>
      <c r="J16" s="49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1"/>
      <c r="V16" s="51"/>
    </row>
    <row r="17" spans="1:22" ht="18.75" customHeight="1" x14ac:dyDescent="0.25">
      <c r="A17" s="60" t="s">
        <v>362</v>
      </c>
      <c r="B17" s="29" t="s">
        <v>31</v>
      </c>
      <c r="C17" s="28" t="s">
        <v>363</v>
      </c>
      <c r="D17" s="28" t="s">
        <v>5</v>
      </c>
      <c r="E17" s="28" t="s">
        <v>339</v>
      </c>
      <c r="F17" s="28" t="s">
        <v>330</v>
      </c>
      <c r="G17" s="28" t="s">
        <v>364</v>
      </c>
      <c r="H17" s="29">
        <v>25</v>
      </c>
      <c r="I17" s="48"/>
      <c r="J17" s="49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1"/>
      <c r="V17" s="51"/>
    </row>
    <row r="18" spans="1:22" ht="18.75" customHeight="1" x14ac:dyDescent="0.25">
      <c r="A18" s="60" t="s">
        <v>362</v>
      </c>
      <c r="B18" s="29" t="s">
        <v>31</v>
      </c>
      <c r="C18" s="28" t="s">
        <v>365</v>
      </c>
      <c r="D18" s="28" t="s">
        <v>33</v>
      </c>
      <c r="E18" s="28" t="s">
        <v>41</v>
      </c>
      <c r="F18" s="28" t="s">
        <v>356</v>
      </c>
      <c r="G18" s="28" t="s">
        <v>356</v>
      </c>
      <c r="H18" s="29">
        <v>140</v>
      </c>
      <c r="I18" s="48"/>
      <c r="J18" s="49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1"/>
      <c r="V18" s="51"/>
    </row>
    <row r="19" spans="1:22" ht="18.75" customHeight="1" x14ac:dyDescent="0.25">
      <c r="A19" s="60" t="s">
        <v>362</v>
      </c>
      <c r="B19" s="29" t="s">
        <v>31</v>
      </c>
      <c r="C19" s="28" t="s">
        <v>366</v>
      </c>
      <c r="D19" s="28" t="s">
        <v>49</v>
      </c>
      <c r="E19" s="28" t="s">
        <v>367</v>
      </c>
      <c r="F19" s="28" t="s">
        <v>368</v>
      </c>
      <c r="G19" s="28" t="s">
        <v>369</v>
      </c>
      <c r="H19" s="29">
        <v>80</v>
      </c>
      <c r="I19" s="48"/>
      <c r="J19" s="49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1"/>
      <c r="V19" s="51"/>
    </row>
    <row r="20" spans="1:22" ht="18.75" customHeight="1" x14ac:dyDescent="0.25">
      <c r="A20" s="60" t="s">
        <v>362</v>
      </c>
      <c r="B20" s="29" t="s">
        <v>31</v>
      </c>
      <c r="C20" s="28" t="s">
        <v>370</v>
      </c>
      <c r="D20" s="28" t="s">
        <v>33</v>
      </c>
      <c r="E20" s="28" t="s">
        <v>41</v>
      </c>
      <c r="F20" s="28" t="s">
        <v>356</v>
      </c>
      <c r="G20" s="28" t="s">
        <v>356</v>
      </c>
      <c r="H20" s="29">
        <v>40</v>
      </c>
      <c r="I20" s="48"/>
      <c r="J20" s="49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1"/>
      <c r="V20" s="51"/>
    </row>
    <row r="21" spans="1:22" ht="18.75" customHeight="1" x14ac:dyDescent="0.25">
      <c r="A21" s="60" t="s">
        <v>371</v>
      </c>
      <c r="B21" s="29" t="s">
        <v>31</v>
      </c>
      <c r="C21" s="28" t="s">
        <v>372</v>
      </c>
      <c r="D21" s="28" t="s">
        <v>5</v>
      </c>
      <c r="E21" s="28" t="s">
        <v>329</v>
      </c>
      <c r="F21" s="28" t="s">
        <v>373</v>
      </c>
      <c r="G21" s="28" t="s">
        <v>374</v>
      </c>
      <c r="H21" s="29">
        <v>40</v>
      </c>
      <c r="I21" s="48"/>
      <c r="J21" s="49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1"/>
      <c r="V21" s="51"/>
    </row>
    <row r="22" spans="1:22" ht="18.75" customHeight="1" x14ac:dyDescent="0.25">
      <c r="A22" s="60" t="s">
        <v>371</v>
      </c>
      <c r="B22" s="29" t="s">
        <v>37</v>
      </c>
      <c r="C22" s="28" t="s">
        <v>375</v>
      </c>
      <c r="D22" s="28" t="s">
        <v>254</v>
      </c>
      <c r="E22" s="28" t="s">
        <v>274</v>
      </c>
      <c r="F22" s="28" t="s">
        <v>376</v>
      </c>
      <c r="G22" s="28" t="s">
        <v>377</v>
      </c>
      <c r="H22" s="29">
        <v>20</v>
      </c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1"/>
      <c r="V22" s="51"/>
    </row>
    <row r="23" spans="1:22" ht="18.75" customHeight="1" x14ac:dyDescent="0.25">
      <c r="A23" s="60" t="s">
        <v>378</v>
      </c>
      <c r="B23" s="29" t="s">
        <v>37</v>
      </c>
      <c r="C23" s="28" t="s">
        <v>379</v>
      </c>
      <c r="D23" s="28" t="s">
        <v>44</v>
      </c>
      <c r="E23" s="28" t="s">
        <v>37</v>
      </c>
      <c r="F23" s="28" t="s">
        <v>380</v>
      </c>
      <c r="G23" s="28" t="s">
        <v>220</v>
      </c>
      <c r="H23" s="29">
        <v>30</v>
      </c>
      <c r="I23" s="48"/>
      <c r="J23" s="49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1"/>
      <c r="V23" s="51"/>
    </row>
    <row r="24" spans="1:22" ht="18.75" customHeight="1" x14ac:dyDescent="0.25">
      <c r="A24" s="60" t="s">
        <v>381</v>
      </c>
      <c r="B24" s="29" t="s">
        <v>31</v>
      </c>
      <c r="C24" s="26" t="s">
        <v>382</v>
      </c>
      <c r="D24" s="28" t="s">
        <v>33</v>
      </c>
      <c r="E24" s="28" t="s">
        <v>41</v>
      </c>
      <c r="F24" s="28" t="s">
        <v>356</v>
      </c>
      <c r="G24" s="28" t="s">
        <v>356</v>
      </c>
      <c r="H24" s="29">
        <v>160</v>
      </c>
      <c r="I24" s="48"/>
      <c r="J24" s="49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1"/>
      <c r="V24" s="51"/>
    </row>
    <row r="25" spans="1:22" ht="18.75" customHeight="1" x14ac:dyDescent="0.25">
      <c r="A25" s="60" t="s">
        <v>381</v>
      </c>
      <c r="B25" s="29" t="s">
        <v>31</v>
      </c>
      <c r="C25" s="28" t="s">
        <v>383</v>
      </c>
      <c r="D25" s="28" t="s">
        <v>5</v>
      </c>
      <c r="E25" s="28" t="s">
        <v>367</v>
      </c>
      <c r="F25" s="28" t="s">
        <v>384</v>
      </c>
      <c r="G25" s="28" t="s">
        <v>385</v>
      </c>
      <c r="H25" s="29">
        <v>60</v>
      </c>
      <c r="I25" s="48"/>
      <c r="J25" s="49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1"/>
      <c r="V25" s="51"/>
    </row>
    <row r="26" spans="1:22" ht="18.75" customHeight="1" x14ac:dyDescent="0.25">
      <c r="A26" s="60" t="s">
        <v>386</v>
      </c>
      <c r="B26" s="29" t="s">
        <v>31</v>
      </c>
      <c r="C26" s="28" t="s">
        <v>387</v>
      </c>
      <c r="D26" s="28" t="s">
        <v>13</v>
      </c>
      <c r="E26" s="28" t="s">
        <v>220</v>
      </c>
      <c r="F26" s="28" t="s">
        <v>220</v>
      </c>
      <c r="G26" s="28" t="s">
        <v>220</v>
      </c>
      <c r="H26" s="29">
        <v>20</v>
      </c>
      <c r="I26" s="48"/>
      <c r="J26" s="49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1"/>
      <c r="V26" s="51"/>
    </row>
    <row r="27" spans="1:22" ht="18.75" customHeight="1" x14ac:dyDescent="0.25">
      <c r="A27" s="60" t="s">
        <v>388</v>
      </c>
      <c r="B27" s="29" t="s">
        <v>31</v>
      </c>
      <c r="C27" s="28" t="s">
        <v>389</v>
      </c>
      <c r="D27" s="28" t="s">
        <v>44</v>
      </c>
      <c r="E27" s="28" t="s">
        <v>367</v>
      </c>
      <c r="F27" s="28" t="s">
        <v>251</v>
      </c>
      <c r="G27" s="28" t="s">
        <v>251</v>
      </c>
      <c r="H27" s="29">
        <v>60</v>
      </c>
      <c r="I27" s="48"/>
      <c r="J27" s="49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1"/>
      <c r="V27" s="51"/>
    </row>
    <row r="28" spans="1:22" ht="18.75" customHeight="1" x14ac:dyDescent="0.25">
      <c r="A28" s="60" t="s">
        <v>388</v>
      </c>
      <c r="B28" s="29" t="s">
        <v>37</v>
      </c>
      <c r="C28" s="28" t="s">
        <v>390</v>
      </c>
      <c r="D28" s="28" t="s">
        <v>5</v>
      </c>
      <c r="E28" s="28" t="s">
        <v>37</v>
      </c>
      <c r="F28" s="28" t="s">
        <v>391</v>
      </c>
      <c r="G28" s="28" t="s">
        <v>392</v>
      </c>
      <c r="H28" s="29">
        <v>25</v>
      </c>
      <c r="I28" s="48"/>
      <c r="J28" s="49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1"/>
      <c r="V28" s="51"/>
    </row>
    <row r="29" spans="1:22" ht="18.75" customHeight="1" x14ac:dyDescent="0.25">
      <c r="A29" s="60" t="s">
        <v>393</v>
      </c>
      <c r="B29" s="29" t="s">
        <v>31</v>
      </c>
      <c r="C29" s="28" t="s">
        <v>394</v>
      </c>
      <c r="D29" s="28" t="s">
        <v>5</v>
      </c>
      <c r="E29" s="28" t="s">
        <v>41</v>
      </c>
      <c r="F29" s="28" t="s">
        <v>395</v>
      </c>
      <c r="G29" s="28" t="s">
        <v>396</v>
      </c>
      <c r="H29" s="29">
        <v>85</v>
      </c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1"/>
      <c r="V29" s="51"/>
    </row>
    <row r="30" spans="1:22" ht="18.75" customHeight="1" x14ac:dyDescent="0.25">
      <c r="A30" s="60" t="s">
        <v>393</v>
      </c>
      <c r="B30" s="29" t="s">
        <v>31</v>
      </c>
      <c r="C30" s="28" t="s">
        <v>397</v>
      </c>
      <c r="D30" s="28" t="s">
        <v>33</v>
      </c>
      <c r="E30" s="28" t="s">
        <v>41</v>
      </c>
      <c r="F30" s="28" t="s">
        <v>356</v>
      </c>
      <c r="G30" s="28" t="s">
        <v>398</v>
      </c>
      <c r="H30" s="29">
        <v>40</v>
      </c>
      <c r="I30" s="48"/>
      <c r="J30" s="49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1"/>
      <c r="V30" s="51"/>
    </row>
    <row r="31" spans="1:22" ht="15.75" customHeight="1" x14ac:dyDescent="0.25">
      <c r="A31" s="51"/>
      <c r="B31" s="51"/>
      <c r="C31" s="51"/>
      <c r="D31" s="51"/>
      <c r="E31" s="51"/>
      <c r="F31" s="51"/>
      <c r="G31" s="51"/>
      <c r="H31" s="86">
        <v>2055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51"/>
      <c r="E32" s="51"/>
      <c r="F32" s="51"/>
      <c r="G32" s="51"/>
      <c r="H32" s="6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51"/>
      <c r="E33" s="51"/>
      <c r="F33" s="51"/>
      <c r="G33" s="51"/>
      <c r="H33" s="6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51"/>
      <c r="E34" s="51"/>
      <c r="F34" s="51"/>
      <c r="G34" s="51"/>
      <c r="H34" s="6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51"/>
      <c r="E35" s="51"/>
      <c r="F35" s="51"/>
      <c r="G35" s="51"/>
      <c r="H35" s="6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51"/>
      <c r="E36" s="51"/>
      <c r="F36" s="51"/>
      <c r="G36" s="51"/>
      <c r="H36" s="6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51"/>
      <c r="E37" s="51"/>
      <c r="F37" s="51"/>
      <c r="G37" s="51"/>
      <c r="H37" s="6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51"/>
      <c r="E38" s="51"/>
      <c r="F38" s="51"/>
      <c r="G38" s="51"/>
      <c r="H38" s="6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51"/>
      <c r="E39" s="51"/>
      <c r="F39" s="51"/>
      <c r="G39" s="51"/>
      <c r="H39" s="6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51"/>
      <c r="E40" s="51"/>
      <c r="F40" s="51"/>
      <c r="G40" s="51"/>
      <c r="H40" s="6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51"/>
      <c r="E41" s="51"/>
      <c r="F41" s="51"/>
      <c r="G41" s="51"/>
      <c r="H41" s="6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51"/>
      <c r="E42" s="51"/>
      <c r="F42" s="51"/>
      <c r="G42" s="51"/>
      <c r="H42" s="6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51"/>
      <c r="E43" s="51"/>
      <c r="F43" s="51"/>
      <c r="G43" s="51"/>
      <c r="H43" s="6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51"/>
      <c r="E44" s="51"/>
      <c r="F44" s="51"/>
      <c r="G44" s="51"/>
      <c r="H44" s="6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51"/>
      <c r="E45" s="51"/>
      <c r="F45" s="51"/>
      <c r="G45" s="51"/>
      <c r="H45" s="6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51"/>
      <c r="E46" s="51"/>
      <c r="F46" s="51"/>
      <c r="G46" s="51"/>
      <c r="H46" s="6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51"/>
      <c r="E47" s="51"/>
      <c r="F47" s="51"/>
      <c r="G47" s="51"/>
      <c r="H47" s="6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51"/>
      <c r="E48" s="51"/>
      <c r="F48" s="51"/>
      <c r="G48" s="51"/>
      <c r="H48" s="6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51"/>
      <c r="E49" s="51"/>
      <c r="F49" s="51"/>
      <c r="G49" s="51"/>
      <c r="H49" s="6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51"/>
      <c r="E50" s="51"/>
      <c r="F50" s="51"/>
      <c r="G50" s="51"/>
      <c r="H50" s="6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51"/>
      <c r="E51" s="51"/>
      <c r="F51" s="51"/>
      <c r="G51" s="51"/>
      <c r="H51" s="6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51"/>
      <c r="E52" s="51"/>
      <c r="F52" s="51"/>
      <c r="G52" s="51"/>
      <c r="H52" s="6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51"/>
      <c r="E53" s="51"/>
      <c r="F53" s="51"/>
      <c r="G53" s="51"/>
      <c r="H53" s="6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51"/>
      <c r="E54" s="51"/>
      <c r="F54" s="51"/>
      <c r="G54" s="51"/>
      <c r="H54" s="6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51"/>
      <c r="E55" s="51"/>
      <c r="F55" s="51"/>
      <c r="G55" s="51"/>
      <c r="H55" s="6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51"/>
      <c r="E56" s="51"/>
      <c r="F56" s="51"/>
      <c r="G56" s="51"/>
      <c r="H56" s="6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51"/>
      <c r="E57" s="51"/>
      <c r="F57" s="51"/>
      <c r="G57" s="51"/>
      <c r="H57" s="6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51"/>
      <c r="E58" s="51"/>
      <c r="F58" s="51"/>
      <c r="G58" s="51"/>
      <c r="H58" s="6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51"/>
      <c r="E59" s="51"/>
      <c r="F59" s="51"/>
      <c r="G59" s="51"/>
      <c r="H59" s="6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51"/>
      <c r="E60" s="51"/>
      <c r="F60" s="51"/>
      <c r="G60" s="51"/>
      <c r="H60" s="6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51"/>
      <c r="E61" s="51"/>
      <c r="F61" s="51"/>
      <c r="G61" s="51"/>
      <c r="H61" s="6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51"/>
      <c r="E62" s="51"/>
      <c r="F62" s="51"/>
      <c r="G62" s="51"/>
      <c r="H62" s="6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51"/>
      <c r="E63" s="51"/>
      <c r="F63" s="51"/>
      <c r="G63" s="51"/>
      <c r="H63" s="6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51"/>
      <c r="E64" s="51"/>
      <c r="F64" s="51"/>
      <c r="G64" s="51"/>
      <c r="H64" s="6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51"/>
      <c r="E65" s="51"/>
      <c r="F65" s="51"/>
      <c r="G65" s="51"/>
      <c r="H65" s="6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51"/>
      <c r="E66" s="51"/>
      <c r="F66" s="51"/>
      <c r="G66" s="51"/>
      <c r="H66" s="6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51"/>
      <c r="E67" s="51"/>
      <c r="F67" s="51"/>
      <c r="G67" s="51"/>
      <c r="H67" s="6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51"/>
      <c r="E68" s="51"/>
      <c r="F68" s="51"/>
      <c r="G68" s="51"/>
      <c r="H68" s="6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51"/>
      <c r="E69" s="51"/>
      <c r="F69" s="51"/>
      <c r="G69" s="51"/>
      <c r="H69" s="6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51"/>
      <c r="E70" s="51"/>
      <c r="F70" s="51"/>
      <c r="G70" s="51"/>
      <c r="H70" s="6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51"/>
      <c r="E71" s="51"/>
      <c r="F71" s="51"/>
      <c r="G71" s="51"/>
      <c r="H71" s="6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51"/>
      <c r="E72" s="51"/>
      <c r="F72" s="51"/>
      <c r="G72" s="51"/>
      <c r="H72" s="6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51"/>
      <c r="E73" s="51"/>
      <c r="F73" s="51"/>
      <c r="G73" s="51"/>
      <c r="H73" s="6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51"/>
      <c r="E74" s="51"/>
      <c r="F74" s="51"/>
      <c r="G74" s="51"/>
      <c r="H74" s="6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51"/>
      <c r="E75" s="51"/>
      <c r="F75" s="51"/>
      <c r="G75" s="51"/>
      <c r="H75" s="6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51"/>
      <c r="E76" s="51"/>
      <c r="F76" s="51"/>
      <c r="G76" s="51"/>
      <c r="H76" s="6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51"/>
      <c r="E77" s="51"/>
      <c r="F77" s="51"/>
      <c r="G77" s="51"/>
      <c r="H77" s="6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51"/>
      <c r="E78" s="51"/>
      <c r="F78" s="51"/>
      <c r="G78" s="51"/>
      <c r="H78" s="6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51"/>
      <c r="E79" s="51"/>
      <c r="F79" s="51"/>
      <c r="G79" s="51"/>
      <c r="H79" s="6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51"/>
      <c r="E80" s="51"/>
      <c r="F80" s="51"/>
      <c r="G80" s="51"/>
      <c r="H80" s="6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51"/>
      <c r="E81" s="51"/>
      <c r="F81" s="51"/>
      <c r="G81" s="51"/>
      <c r="H81" s="6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51"/>
      <c r="E82" s="51"/>
      <c r="F82" s="51"/>
      <c r="G82" s="51"/>
      <c r="H82" s="6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51"/>
      <c r="E83" s="51"/>
      <c r="F83" s="51"/>
      <c r="G83" s="51"/>
      <c r="H83" s="6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51"/>
      <c r="E84" s="51"/>
      <c r="F84" s="51"/>
      <c r="G84" s="51"/>
      <c r="H84" s="6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51"/>
      <c r="E85" s="51"/>
      <c r="F85" s="51"/>
      <c r="G85" s="51"/>
      <c r="H85" s="6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51"/>
      <c r="E86" s="51"/>
      <c r="F86" s="51"/>
      <c r="G86" s="51"/>
      <c r="H86" s="6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51"/>
      <c r="E87" s="51"/>
      <c r="F87" s="51"/>
      <c r="G87" s="51"/>
      <c r="H87" s="6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51"/>
      <c r="E88" s="51"/>
      <c r="F88" s="51"/>
      <c r="G88" s="51"/>
      <c r="H88" s="6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51"/>
      <c r="E89" s="51"/>
      <c r="F89" s="51"/>
      <c r="G89" s="51"/>
      <c r="H89" s="6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51"/>
      <c r="E90" s="51"/>
      <c r="F90" s="51"/>
      <c r="G90" s="51"/>
      <c r="H90" s="6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51"/>
      <c r="E91" s="51"/>
      <c r="F91" s="51"/>
      <c r="G91" s="51"/>
      <c r="H91" s="6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51"/>
      <c r="E92" s="51"/>
      <c r="F92" s="51"/>
      <c r="G92" s="51"/>
      <c r="H92" s="6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51"/>
      <c r="E93" s="51"/>
      <c r="F93" s="51"/>
      <c r="G93" s="51"/>
      <c r="H93" s="6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51"/>
      <c r="E94" s="51"/>
      <c r="F94" s="51"/>
      <c r="G94" s="51"/>
      <c r="H94" s="6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51"/>
      <c r="E95" s="51"/>
      <c r="F95" s="51"/>
      <c r="G95" s="51"/>
      <c r="H95" s="6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51"/>
      <c r="E96" s="51"/>
      <c r="F96" s="51"/>
      <c r="G96" s="51"/>
      <c r="H96" s="6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51"/>
      <c r="E97" s="51"/>
      <c r="F97" s="51"/>
      <c r="G97" s="51"/>
      <c r="H97" s="6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51"/>
      <c r="E98" s="51"/>
      <c r="F98" s="51"/>
      <c r="G98" s="51"/>
      <c r="H98" s="6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51"/>
      <c r="E99" s="51"/>
      <c r="F99" s="51"/>
      <c r="G99" s="51"/>
      <c r="H99" s="6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51"/>
      <c r="E100" s="51"/>
      <c r="F100" s="51"/>
      <c r="G100" s="51"/>
      <c r="H100" s="6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51"/>
      <c r="E101" s="51"/>
      <c r="F101" s="51"/>
      <c r="G101" s="51"/>
      <c r="H101" s="6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51"/>
      <c r="E102" s="51"/>
      <c r="F102" s="51"/>
      <c r="G102" s="51"/>
      <c r="H102" s="6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51"/>
      <c r="E103" s="51"/>
      <c r="F103" s="51"/>
      <c r="G103" s="51"/>
      <c r="H103" s="6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51"/>
      <c r="E104" s="51"/>
      <c r="F104" s="51"/>
      <c r="G104" s="51"/>
      <c r="H104" s="6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51"/>
      <c r="E105" s="51"/>
      <c r="F105" s="51"/>
      <c r="G105" s="51"/>
      <c r="H105" s="6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51"/>
      <c r="E106" s="51"/>
      <c r="F106" s="51"/>
      <c r="G106" s="51"/>
      <c r="H106" s="6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51"/>
      <c r="E107" s="51"/>
      <c r="F107" s="51"/>
      <c r="G107" s="51"/>
      <c r="H107" s="6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51"/>
      <c r="E108" s="51"/>
      <c r="F108" s="51"/>
      <c r="G108" s="51"/>
      <c r="H108" s="6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51"/>
      <c r="E109" s="51"/>
      <c r="F109" s="51"/>
      <c r="G109" s="51"/>
      <c r="H109" s="6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51"/>
      <c r="E110" s="51"/>
      <c r="F110" s="51"/>
      <c r="G110" s="51"/>
      <c r="H110" s="6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51"/>
      <c r="E111" s="51"/>
      <c r="F111" s="51"/>
      <c r="G111" s="51"/>
      <c r="H111" s="6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51"/>
      <c r="E112" s="51"/>
      <c r="F112" s="51"/>
      <c r="G112" s="51"/>
      <c r="H112" s="6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51"/>
      <c r="E113" s="51"/>
      <c r="F113" s="51"/>
      <c r="G113" s="51"/>
      <c r="H113" s="6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51"/>
      <c r="E114" s="51"/>
      <c r="F114" s="51"/>
      <c r="G114" s="51"/>
      <c r="H114" s="6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51"/>
      <c r="E115" s="51"/>
      <c r="F115" s="51"/>
      <c r="G115" s="51"/>
      <c r="H115" s="6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51"/>
      <c r="E116" s="51"/>
      <c r="F116" s="51"/>
      <c r="G116" s="51"/>
      <c r="H116" s="6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51"/>
      <c r="E117" s="51"/>
      <c r="F117" s="51"/>
      <c r="G117" s="51"/>
      <c r="H117" s="6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51"/>
      <c r="E118" s="51"/>
      <c r="F118" s="51"/>
      <c r="G118" s="51"/>
      <c r="H118" s="6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51"/>
      <c r="E119" s="51"/>
      <c r="F119" s="51"/>
      <c r="G119" s="51"/>
      <c r="H119" s="6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51"/>
      <c r="E120" s="51"/>
      <c r="F120" s="51"/>
      <c r="G120" s="51"/>
      <c r="H120" s="6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51"/>
      <c r="E121" s="51"/>
      <c r="F121" s="51"/>
      <c r="G121" s="51"/>
      <c r="H121" s="6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51"/>
      <c r="E122" s="51"/>
      <c r="F122" s="51"/>
      <c r="G122" s="51"/>
      <c r="H122" s="6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51"/>
      <c r="E123" s="51"/>
      <c r="F123" s="51"/>
      <c r="G123" s="51"/>
      <c r="H123" s="6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51"/>
      <c r="E124" s="51"/>
      <c r="F124" s="51"/>
      <c r="G124" s="51"/>
      <c r="H124" s="6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51"/>
      <c r="E125" s="51"/>
      <c r="F125" s="51"/>
      <c r="G125" s="51"/>
      <c r="H125" s="6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51"/>
      <c r="E126" s="51"/>
      <c r="F126" s="51"/>
      <c r="G126" s="51"/>
      <c r="H126" s="6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51"/>
      <c r="E127" s="51"/>
      <c r="F127" s="51"/>
      <c r="G127" s="51"/>
      <c r="H127" s="6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51"/>
      <c r="E128" s="51"/>
      <c r="F128" s="51"/>
      <c r="G128" s="51"/>
      <c r="H128" s="6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51"/>
      <c r="E129" s="51"/>
      <c r="F129" s="51"/>
      <c r="G129" s="51"/>
      <c r="H129" s="6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51"/>
      <c r="E130" s="51"/>
      <c r="F130" s="51"/>
      <c r="G130" s="51"/>
      <c r="H130" s="6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51"/>
      <c r="E131" s="51"/>
      <c r="F131" s="51"/>
      <c r="G131" s="51"/>
      <c r="H131" s="6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51"/>
      <c r="E132" s="51"/>
      <c r="F132" s="51"/>
      <c r="G132" s="51"/>
      <c r="H132" s="6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51"/>
      <c r="E133" s="51"/>
      <c r="F133" s="51"/>
      <c r="G133" s="51"/>
      <c r="H133" s="6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51"/>
      <c r="E134" s="51"/>
      <c r="F134" s="51"/>
      <c r="G134" s="51"/>
      <c r="H134" s="6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51"/>
      <c r="E135" s="51"/>
      <c r="F135" s="51"/>
      <c r="G135" s="51"/>
      <c r="H135" s="6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51"/>
      <c r="E136" s="51"/>
      <c r="F136" s="51"/>
      <c r="G136" s="51"/>
      <c r="H136" s="6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51"/>
      <c r="E137" s="51"/>
      <c r="F137" s="51"/>
      <c r="G137" s="51"/>
      <c r="H137" s="6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51"/>
      <c r="E138" s="51"/>
      <c r="F138" s="51"/>
      <c r="G138" s="51"/>
      <c r="H138" s="6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51"/>
      <c r="E139" s="51"/>
      <c r="F139" s="51"/>
      <c r="G139" s="51"/>
      <c r="H139" s="6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51"/>
      <c r="E140" s="51"/>
      <c r="F140" s="51"/>
      <c r="G140" s="51"/>
      <c r="H140" s="6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51"/>
      <c r="E141" s="51"/>
      <c r="F141" s="51"/>
      <c r="G141" s="51"/>
      <c r="H141" s="6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51"/>
      <c r="E142" s="51"/>
      <c r="F142" s="51"/>
      <c r="G142" s="51"/>
      <c r="H142" s="6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51"/>
      <c r="E143" s="51"/>
      <c r="F143" s="51"/>
      <c r="G143" s="51"/>
      <c r="H143" s="6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51"/>
      <c r="E144" s="51"/>
      <c r="F144" s="51"/>
      <c r="G144" s="51"/>
      <c r="H144" s="6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51"/>
      <c r="E145" s="51"/>
      <c r="F145" s="51"/>
      <c r="G145" s="51"/>
      <c r="H145" s="6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51"/>
      <c r="E146" s="51"/>
      <c r="F146" s="51"/>
      <c r="G146" s="51"/>
      <c r="H146" s="6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51"/>
      <c r="E147" s="51"/>
      <c r="F147" s="51"/>
      <c r="G147" s="51"/>
      <c r="H147" s="6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51"/>
      <c r="E148" s="51"/>
      <c r="F148" s="51"/>
      <c r="G148" s="51"/>
      <c r="H148" s="6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51"/>
      <c r="E149" s="51"/>
      <c r="F149" s="51"/>
      <c r="G149" s="51"/>
      <c r="H149" s="6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51"/>
      <c r="E150" s="51"/>
      <c r="F150" s="51"/>
      <c r="G150" s="51"/>
      <c r="H150" s="6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51"/>
      <c r="E151" s="51"/>
      <c r="F151" s="51"/>
      <c r="G151" s="51"/>
      <c r="H151" s="6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51"/>
      <c r="E152" s="51"/>
      <c r="F152" s="51"/>
      <c r="G152" s="51"/>
      <c r="H152" s="6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51"/>
      <c r="E153" s="51"/>
      <c r="F153" s="51"/>
      <c r="G153" s="51"/>
      <c r="H153" s="6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51"/>
      <c r="E154" s="51"/>
      <c r="F154" s="51"/>
      <c r="G154" s="51"/>
      <c r="H154" s="6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51"/>
      <c r="E155" s="51"/>
      <c r="F155" s="51"/>
      <c r="G155" s="51"/>
      <c r="H155" s="6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51"/>
      <c r="E156" s="51"/>
      <c r="F156" s="51"/>
      <c r="G156" s="51"/>
      <c r="H156" s="6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51"/>
      <c r="E157" s="51"/>
      <c r="F157" s="51"/>
      <c r="G157" s="51"/>
      <c r="H157" s="6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51"/>
      <c r="E158" s="51"/>
      <c r="F158" s="51"/>
      <c r="G158" s="51"/>
      <c r="H158" s="6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51"/>
      <c r="E159" s="51"/>
      <c r="F159" s="51"/>
      <c r="G159" s="51"/>
      <c r="H159" s="6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51"/>
      <c r="E160" s="51"/>
      <c r="F160" s="51"/>
      <c r="G160" s="51"/>
      <c r="H160" s="6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51"/>
      <c r="E161" s="51"/>
      <c r="F161" s="51"/>
      <c r="G161" s="51"/>
      <c r="H161" s="6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51"/>
      <c r="E162" s="51"/>
      <c r="F162" s="51"/>
      <c r="G162" s="51"/>
      <c r="H162" s="6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51"/>
      <c r="E163" s="51"/>
      <c r="F163" s="51"/>
      <c r="G163" s="51"/>
      <c r="H163" s="6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51"/>
      <c r="E164" s="51"/>
      <c r="F164" s="51"/>
      <c r="G164" s="51"/>
      <c r="H164" s="6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51"/>
      <c r="E165" s="51"/>
      <c r="F165" s="51"/>
      <c r="G165" s="51"/>
      <c r="H165" s="6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51"/>
      <c r="E166" s="51"/>
      <c r="F166" s="51"/>
      <c r="G166" s="51"/>
      <c r="H166" s="6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51"/>
      <c r="E167" s="51"/>
      <c r="F167" s="51"/>
      <c r="G167" s="51"/>
      <c r="H167" s="6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51"/>
      <c r="E168" s="51"/>
      <c r="F168" s="51"/>
      <c r="G168" s="51"/>
      <c r="H168" s="6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51"/>
      <c r="E169" s="51"/>
      <c r="F169" s="51"/>
      <c r="G169" s="51"/>
      <c r="H169" s="6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51"/>
      <c r="E170" s="51"/>
      <c r="F170" s="51"/>
      <c r="G170" s="51"/>
      <c r="H170" s="6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51"/>
      <c r="E171" s="51"/>
      <c r="F171" s="51"/>
      <c r="G171" s="51"/>
      <c r="H171" s="6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51"/>
      <c r="E172" s="51"/>
      <c r="F172" s="51"/>
      <c r="G172" s="51"/>
      <c r="H172" s="6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51"/>
      <c r="E173" s="51"/>
      <c r="F173" s="51"/>
      <c r="G173" s="51"/>
      <c r="H173" s="6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51"/>
      <c r="E174" s="51"/>
      <c r="F174" s="51"/>
      <c r="G174" s="51"/>
      <c r="H174" s="6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51"/>
      <c r="E175" s="51"/>
      <c r="F175" s="51"/>
      <c r="G175" s="51"/>
      <c r="H175" s="6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51"/>
      <c r="E176" s="51"/>
      <c r="F176" s="51"/>
      <c r="G176" s="51"/>
      <c r="H176" s="6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51"/>
      <c r="E177" s="51"/>
      <c r="F177" s="51"/>
      <c r="G177" s="51"/>
      <c r="H177" s="6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51"/>
      <c r="E178" s="51"/>
      <c r="F178" s="51"/>
      <c r="G178" s="51"/>
      <c r="H178" s="6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51"/>
      <c r="E179" s="51"/>
      <c r="F179" s="51"/>
      <c r="G179" s="51"/>
      <c r="H179" s="6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51"/>
      <c r="E180" s="51"/>
      <c r="F180" s="51"/>
      <c r="G180" s="51"/>
      <c r="H180" s="6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51"/>
      <c r="E181" s="51"/>
      <c r="F181" s="51"/>
      <c r="G181" s="51"/>
      <c r="H181" s="6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51"/>
      <c r="E182" s="51"/>
      <c r="F182" s="51"/>
      <c r="G182" s="51"/>
      <c r="H182" s="6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51"/>
      <c r="E183" s="51"/>
      <c r="F183" s="51"/>
      <c r="G183" s="51"/>
      <c r="H183" s="6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51"/>
      <c r="E184" s="51"/>
      <c r="F184" s="51"/>
      <c r="G184" s="51"/>
      <c r="H184" s="6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51"/>
      <c r="E185" s="51"/>
      <c r="F185" s="51"/>
      <c r="G185" s="51"/>
      <c r="H185" s="6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51"/>
      <c r="E186" s="51"/>
      <c r="F186" s="51"/>
      <c r="G186" s="51"/>
      <c r="H186" s="6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51"/>
      <c r="E187" s="51"/>
      <c r="F187" s="51"/>
      <c r="G187" s="51"/>
      <c r="H187" s="6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51"/>
      <c r="E188" s="51"/>
      <c r="F188" s="51"/>
      <c r="G188" s="51"/>
      <c r="H188" s="6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51"/>
      <c r="E189" s="51"/>
      <c r="F189" s="51"/>
      <c r="G189" s="51"/>
      <c r="H189" s="6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51"/>
      <c r="E190" s="51"/>
      <c r="F190" s="51"/>
      <c r="G190" s="51"/>
      <c r="H190" s="6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51"/>
      <c r="E191" s="51"/>
      <c r="F191" s="51"/>
      <c r="G191" s="51"/>
      <c r="H191" s="6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51"/>
      <c r="E192" s="51"/>
      <c r="F192" s="51"/>
      <c r="G192" s="51"/>
      <c r="H192" s="6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51"/>
      <c r="E193" s="51"/>
      <c r="F193" s="51"/>
      <c r="G193" s="51"/>
      <c r="H193" s="6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51"/>
      <c r="E194" s="51"/>
      <c r="F194" s="51"/>
      <c r="G194" s="51"/>
      <c r="H194" s="6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51"/>
      <c r="E195" s="51"/>
      <c r="F195" s="51"/>
      <c r="G195" s="51"/>
      <c r="H195" s="6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51"/>
      <c r="E196" s="51"/>
      <c r="F196" s="51"/>
      <c r="G196" s="51"/>
      <c r="H196" s="6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51"/>
      <c r="E197" s="51"/>
      <c r="F197" s="51"/>
      <c r="G197" s="51"/>
      <c r="H197" s="6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51"/>
      <c r="E198" s="51"/>
      <c r="F198" s="51"/>
      <c r="G198" s="51"/>
      <c r="H198" s="6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51"/>
      <c r="E199" s="51"/>
      <c r="F199" s="51"/>
      <c r="G199" s="51"/>
      <c r="H199" s="6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51"/>
      <c r="E200" s="51"/>
      <c r="F200" s="51"/>
      <c r="G200" s="51"/>
      <c r="H200" s="6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51"/>
      <c r="E201" s="51"/>
      <c r="F201" s="51"/>
      <c r="G201" s="51"/>
      <c r="H201" s="6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51"/>
      <c r="E202" s="51"/>
      <c r="F202" s="51"/>
      <c r="G202" s="51"/>
      <c r="H202" s="6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51"/>
      <c r="E203" s="51"/>
      <c r="F203" s="51"/>
      <c r="G203" s="51"/>
      <c r="H203" s="6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51"/>
      <c r="E204" s="51"/>
      <c r="F204" s="51"/>
      <c r="G204" s="51"/>
      <c r="H204" s="6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51"/>
      <c r="E205" s="51"/>
      <c r="F205" s="51"/>
      <c r="G205" s="51"/>
      <c r="H205" s="6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51"/>
      <c r="E206" s="51"/>
      <c r="F206" s="51"/>
      <c r="G206" s="51"/>
      <c r="H206" s="6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51"/>
      <c r="E207" s="51"/>
      <c r="F207" s="51"/>
      <c r="G207" s="51"/>
      <c r="H207" s="6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51"/>
      <c r="E208" s="51"/>
      <c r="F208" s="51"/>
      <c r="G208" s="51"/>
      <c r="H208" s="6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51"/>
      <c r="E209" s="51"/>
      <c r="F209" s="51"/>
      <c r="G209" s="51"/>
      <c r="H209" s="6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51"/>
      <c r="E210" s="51"/>
      <c r="F210" s="51"/>
      <c r="G210" s="51"/>
      <c r="H210" s="6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51"/>
      <c r="E211" s="51"/>
      <c r="F211" s="51"/>
      <c r="G211" s="51"/>
      <c r="H211" s="6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51"/>
      <c r="E212" s="51"/>
      <c r="F212" s="51"/>
      <c r="G212" s="51"/>
      <c r="H212" s="6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51"/>
      <c r="E213" s="51"/>
      <c r="F213" s="51"/>
      <c r="G213" s="51"/>
      <c r="H213" s="6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51"/>
      <c r="E214" s="51"/>
      <c r="F214" s="51"/>
      <c r="G214" s="51"/>
      <c r="H214" s="6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51"/>
      <c r="E215" s="51"/>
      <c r="F215" s="51"/>
      <c r="G215" s="51"/>
      <c r="H215" s="6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51"/>
      <c r="E216" s="51"/>
      <c r="F216" s="51"/>
      <c r="G216" s="51"/>
      <c r="H216" s="6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51"/>
      <c r="E217" s="51"/>
      <c r="F217" s="51"/>
      <c r="G217" s="51"/>
      <c r="H217" s="6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51"/>
      <c r="E218" s="51"/>
      <c r="F218" s="51"/>
      <c r="G218" s="51"/>
      <c r="H218" s="6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51"/>
      <c r="E219" s="51"/>
      <c r="F219" s="51"/>
      <c r="G219" s="51"/>
      <c r="H219" s="6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51"/>
      <c r="E220" s="51"/>
      <c r="F220" s="51"/>
      <c r="G220" s="51"/>
      <c r="H220" s="6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51"/>
      <c r="E221" s="51"/>
      <c r="F221" s="51"/>
      <c r="G221" s="51"/>
      <c r="H221" s="6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51"/>
      <c r="E222" s="51"/>
      <c r="F222" s="51"/>
      <c r="G222" s="51"/>
      <c r="H222" s="6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51"/>
      <c r="E223" s="51"/>
      <c r="F223" s="51"/>
      <c r="G223" s="51"/>
      <c r="H223" s="6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51"/>
      <c r="E224" s="51"/>
      <c r="F224" s="51"/>
      <c r="G224" s="51"/>
      <c r="H224" s="6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51"/>
      <c r="E225" s="51"/>
      <c r="F225" s="51"/>
      <c r="G225" s="51"/>
      <c r="H225" s="6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51"/>
      <c r="E226" s="51"/>
      <c r="F226" s="51"/>
      <c r="G226" s="51"/>
      <c r="H226" s="6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51"/>
      <c r="E227" s="51"/>
      <c r="F227" s="51"/>
      <c r="G227" s="51"/>
      <c r="H227" s="6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51"/>
      <c r="E228" s="51"/>
      <c r="F228" s="51"/>
      <c r="G228" s="51"/>
      <c r="H228" s="6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51"/>
      <c r="E229" s="51"/>
      <c r="F229" s="51"/>
      <c r="G229" s="51"/>
      <c r="H229" s="6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51"/>
      <c r="E230" s="51"/>
      <c r="F230" s="51"/>
      <c r="G230" s="51"/>
      <c r="H230" s="6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51"/>
      <c r="E231" s="51"/>
      <c r="F231" s="51"/>
      <c r="G231" s="51"/>
      <c r="H231" s="6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51"/>
      <c r="E232" s="51"/>
      <c r="F232" s="51"/>
      <c r="G232" s="51"/>
      <c r="H232" s="6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51"/>
      <c r="E233" s="51"/>
      <c r="F233" s="51"/>
      <c r="G233" s="51"/>
      <c r="H233" s="6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51"/>
      <c r="E234" s="51"/>
      <c r="F234" s="51"/>
      <c r="G234" s="51"/>
      <c r="H234" s="6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51"/>
      <c r="E235" s="51"/>
      <c r="F235" s="51"/>
      <c r="G235" s="51"/>
      <c r="H235" s="6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51"/>
      <c r="E236" s="51"/>
      <c r="F236" s="51"/>
      <c r="G236" s="51"/>
      <c r="H236" s="6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51"/>
      <c r="E237" s="51"/>
      <c r="F237" s="51"/>
      <c r="G237" s="51"/>
      <c r="H237" s="6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51"/>
      <c r="E238" s="51"/>
      <c r="F238" s="51"/>
      <c r="G238" s="51"/>
      <c r="H238" s="6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51"/>
      <c r="E239" s="51"/>
      <c r="F239" s="51"/>
      <c r="G239" s="51"/>
      <c r="H239" s="6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51"/>
      <c r="E240" s="51"/>
      <c r="F240" s="51"/>
      <c r="G240" s="51"/>
      <c r="H240" s="6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51"/>
      <c r="E241" s="51"/>
      <c r="F241" s="51"/>
      <c r="G241" s="51"/>
      <c r="H241" s="6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51"/>
      <c r="E242" s="51"/>
      <c r="F242" s="51"/>
      <c r="G242" s="51"/>
      <c r="H242" s="6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51"/>
      <c r="E243" s="51"/>
      <c r="F243" s="51"/>
      <c r="G243" s="51"/>
      <c r="H243" s="6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51"/>
      <c r="E244" s="51"/>
      <c r="F244" s="51"/>
      <c r="G244" s="51"/>
      <c r="H244" s="6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51"/>
      <c r="E245" s="51"/>
      <c r="F245" s="51"/>
      <c r="G245" s="51"/>
      <c r="H245" s="6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51"/>
      <c r="E246" s="51"/>
      <c r="F246" s="51"/>
      <c r="G246" s="51"/>
      <c r="H246" s="6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51"/>
      <c r="E247" s="51"/>
      <c r="F247" s="51"/>
      <c r="G247" s="51"/>
      <c r="H247" s="6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51"/>
      <c r="E248" s="51"/>
      <c r="F248" s="51"/>
      <c r="G248" s="51"/>
      <c r="H248" s="6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51"/>
      <c r="E249" s="51"/>
      <c r="F249" s="51"/>
      <c r="G249" s="51"/>
      <c r="H249" s="6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51"/>
      <c r="E250" s="51"/>
      <c r="F250" s="51"/>
      <c r="G250" s="51"/>
      <c r="H250" s="6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51"/>
      <c r="E251" s="51"/>
      <c r="F251" s="51"/>
      <c r="G251" s="51"/>
      <c r="H251" s="6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51"/>
      <c r="E252" s="51"/>
      <c r="F252" s="51"/>
      <c r="G252" s="51"/>
      <c r="H252" s="6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51"/>
      <c r="E253" s="51"/>
      <c r="F253" s="51"/>
      <c r="G253" s="51"/>
      <c r="H253" s="6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51"/>
      <c r="E254" s="51"/>
      <c r="F254" s="51"/>
      <c r="G254" s="51"/>
      <c r="H254" s="6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51"/>
      <c r="E255" s="51"/>
      <c r="F255" s="51"/>
      <c r="G255" s="51"/>
      <c r="H255" s="6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51"/>
      <c r="E256" s="51"/>
      <c r="F256" s="51"/>
      <c r="G256" s="51"/>
      <c r="H256" s="6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51"/>
      <c r="E257" s="51"/>
      <c r="F257" s="51"/>
      <c r="G257" s="51"/>
      <c r="H257" s="6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51"/>
      <c r="E258" s="51"/>
      <c r="F258" s="51"/>
      <c r="G258" s="51"/>
      <c r="H258" s="6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51"/>
      <c r="E259" s="51"/>
      <c r="F259" s="51"/>
      <c r="G259" s="51"/>
      <c r="H259" s="6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51"/>
      <c r="E260" s="51"/>
      <c r="F260" s="51"/>
      <c r="G260" s="51"/>
      <c r="H260" s="6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51"/>
      <c r="E261" s="51"/>
      <c r="F261" s="51"/>
      <c r="G261" s="51"/>
      <c r="H261" s="6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51"/>
      <c r="E262" s="51"/>
      <c r="F262" s="51"/>
      <c r="G262" s="51"/>
      <c r="H262" s="6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51"/>
      <c r="E263" s="51"/>
      <c r="F263" s="51"/>
      <c r="G263" s="51"/>
      <c r="H263" s="6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51"/>
      <c r="E264" s="51"/>
      <c r="F264" s="51"/>
      <c r="G264" s="51"/>
      <c r="H264" s="6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51"/>
      <c r="E265" s="51"/>
      <c r="F265" s="51"/>
      <c r="G265" s="51"/>
      <c r="H265" s="6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51"/>
      <c r="E266" s="51"/>
      <c r="F266" s="51"/>
      <c r="G266" s="51"/>
      <c r="H266" s="6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51"/>
      <c r="E267" s="51"/>
      <c r="F267" s="51"/>
      <c r="G267" s="51"/>
      <c r="H267" s="6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51"/>
      <c r="E268" s="51"/>
      <c r="F268" s="51"/>
      <c r="G268" s="51"/>
      <c r="H268" s="6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51"/>
      <c r="E269" s="51"/>
      <c r="F269" s="51"/>
      <c r="G269" s="51"/>
      <c r="H269" s="6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51"/>
      <c r="E270" s="51"/>
      <c r="F270" s="51"/>
      <c r="G270" s="51"/>
      <c r="H270" s="6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51"/>
      <c r="E271" s="51"/>
      <c r="F271" s="51"/>
      <c r="G271" s="51"/>
      <c r="H271" s="6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51"/>
      <c r="E272" s="51"/>
      <c r="F272" s="51"/>
      <c r="G272" s="51"/>
      <c r="H272" s="6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51"/>
      <c r="E273" s="51"/>
      <c r="F273" s="51"/>
      <c r="G273" s="51"/>
      <c r="H273" s="6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51"/>
      <c r="E274" s="51"/>
      <c r="F274" s="51"/>
      <c r="G274" s="51"/>
      <c r="H274" s="6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51"/>
      <c r="E275" s="51"/>
      <c r="F275" s="51"/>
      <c r="G275" s="51"/>
      <c r="H275" s="6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51"/>
      <c r="E276" s="51"/>
      <c r="F276" s="51"/>
      <c r="G276" s="51"/>
      <c r="H276" s="6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51"/>
      <c r="E277" s="51"/>
      <c r="F277" s="51"/>
      <c r="G277" s="51"/>
      <c r="H277" s="6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51"/>
      <c r="E278" s="51"/>
      <c r="F278" s="51"/>
      <c r="G278" s="51"/>
      <c r="H278" s="6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51"/>
      <c r="E279" s="51"/>
      <c r="F279" s="51"/>
      <c r="G279" s="51"/>
      <c r="H279" s="6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51"/>
      <c r="E280" s="51"/>
      <c r="F280" s="51"/>
      <c r="G280" s="51"/>
      <c r="H280" s="6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51"/>
      <c r="E281" s="51"/>
      <c r="F281" s="51"/>
      <c r="G281" s="51"/>
      <c r="H281" s="6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51"/>
      <c r="E282" s="51"/>
      <c r="F282" s="51"/>
      <c r="G282" s="51"/>
      <c r="H282" s="6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51"/>
      <c r="E283" s="51"/>
      <c r="F283" s="51"/>
      <c r="G283" s="51"/>
      <c r="H283" s="6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51"/>
      <c r="E284" s="51"/>
      <c r="F284" s="51"/>
      <c r="G284" s="51"/>
      <c r="H284" s="6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51"/>
      <c r="E285" s="51"/>
      <c r="F285" s="51"/>
      <c r="G285" s="51"/>
      <c r="H285" s="6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51"/>
      <c r="E286" s="51"/>
      <c r="F286" s="51"/>
      <c r="G286" s="51"/>
      <c r="H286" s="6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51"/>
      <c r="E287" s="51"/>
      <c r="F287" s="51"/>
      <c r="G287" s="51"/>
      <c r="H287" s="6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51"/>
      <c r="E288" s="51"/>
      <c r="F288" s="51"/>
      <c r="G288" s="51"/>
      <c r="H288" s="6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51"/>
      <c r="E289" s="51"/>
      <c r="F289" s="51"/>
      <c r="G289" s="51"/>
      <c r="H289" s="6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51"/>
      <c r="E290" s="51"/>
      <c r="F290" s="51"/>
      <c r="G290" s="51"/>
      <c r="H290" s="6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51"/>
      <c r="E291" s="51"/>
      <c r="F291" s="51"/>
      <c r="G291" s="51"/>
      <c r="H291" s="6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51"/>
      <c r="E292" s="51"/>
      <c r="F292" s="51"/>
      <c r="G292" s="51"/>
      <c r="H292" s="6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51"/>
      <c r="E293" s="51"/>
      <c r="F293" s="51"/>
      <c r="G293" s="51"/>
      <c r="H293" s="6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51"/>
      <c r="E294" s="51"/>
      <c r="F294" s="51"/>
      <c r="G294" s="51"/>
      <c r="H294" s="6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51"/>
      <c r="E295" s="51"/>
      <c r="F295" s="51"/>
      <c r="G295" s="51"/>
      <c r="H295" s="6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51"/>
      <c r="E296" s="51"/>
      <c r="F296" s="51"/>
      <c r="G296" s="51"/>
      <c r="H296" s="6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51"/>
      <c r="E297" s="51"/>
      <c r="F297" s="51"/>
      <c r="G297" s="51"/>
      <c r="H297" s="6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51"/>
      <c r="E298" s="51"/>
      <c r="F298" s="51"/>
      <c r="G298" s="51"/>
      <c r="H298" s="6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51"/>
      <c r="E299" s="51"/>
      <c r="F299" s="51"/>
      <c r="G299" s="51"/>
      <c r="H299" s="6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51"/>
      <c r="E300" s="51"/>
      <c r="F300" s="51"/>
      <c r="G300" s="51"/>
      <c r="H300" s="6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51"/>
      <c r="E301" s="51"/>
      <c r="F301" s="51"/>
      <c r="G301" s="51"/>
      <c r="H301" s="6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51"/>
      <c r="E302" s="51"/>
      <c r="F302" s="51"/>
      <c r="G302" s="51"/>
      <c r="H302" s="6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51"/>
      <c r="E303" s="51"/>
      <c r="F303" s="51"/>
      <c r="G303" s="51"/>
      <c r="H303" s="6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51"/>
      <c r="E304" s="51"/>
      <c r="F304" s="51"/>
      <c r="G304" s="51"/>
      <c r="H304" s="6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51"/>
      <c r="E305" s="51"/>
      <c r="F305" s="51"/>
      <c r="G305" s="51"/>
      <c r="H305" s="6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51"/>
      <c r="E306" s="51"/>
      <c r="F306" s="51"/>
      <c r="G306" s="51"/>
      <c r="H306" s="6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51"/>
      <c r="E307" s="51"/>
      <c r="F307" s="51"/>
      <c r="G307" s="51"/>
      <c r="H307" s="6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51"/>
      <c r="E308" s="51"/>
      <c r="F308" s="51"/>
      <c r="G308" s="51"/>
      <c r="H308" s="6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51"/>
      <c r="E309" s="51"/>
      <c r="F309" s="51"/>
      <c r="G309" s="51"/>
      <c r="H309" s="6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51"/>
      <c r="E310" s="51"/>
      <c r="F310" s="51"/>
      <c r="G310" s="51"/>
      <c r="H310" s="6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51"/>
      <c r="E311" s="51"/>
      <c r="F311" s="51"/>
      <c r="G311" s="51"/>
      <c r="H311" s="6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51"/>
      <c r="E312" s="51"/>
      <c r="F312" s="51"/>
      <c r="G312" s="51"/>
      <c r="H312" s="6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51"/>
      <c r="E313" s="51"/>
      <c r="F313" s="51"/>
      <c r="G313" s="51"/>
      <c r="H313" s="6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51"/>
      <c r="E314" s="51"/>
      <c r="F314" s="51"/>
      <c r="G314" s="51"/>
      <c r="H314" s="6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51"/>
      <c r="E315" s="51"/>
      <c r="F315" s="51"/>
      <c r="G315" s="51"/>
      <c r="H315" s="6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51"/>
      <c r="E316" s="51"/>
      <c r="F316" s="51"/>
      <c r="G316" s="51"/>
      <c r="H316" s="6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51"/>
      <c r="E317" s="51"/>
      <c r="F317" s="51"/>
      <c r="G317" s="51"/>
      <c r="H317" s="6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51"/>
      <c r="E318" s="51"/>
      <c r="F318" s="51"/>
      <c r="G318" s="51"/>
      <c r="H318" s="6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51"/>
      <c r="E319" s="51"/>
      <c r="F319" s="51"/>
      <c r="G319" s="51"/>
      <c r="H319" s="6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51"/>
      <c r="E320" s="51"/>
      <c r="F320" s="51"/>
      <c r="G320" s="51"/>
      <c r="H320" s="6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51"/>
      <c r="E321" s="51"/>
      <c r="F321" s="51"/>
      <c r="G321" s="51"/>
      <c r="H321" s="6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51"/>
      <c r="E322" s="51"/>
      <c r="F322" s="51"/>
      <c r="G322" s="51"/>
      <c r="H322" s="6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51"/>
      <c r="E323" s="51"/>
      <c r="F323" s="51"/>
      <c r="G323" s="51"/>
      <c r="H323" s="6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51"/>
      <c r="E324" s="51"/>
      <c r="F324" s="51"/>
      <c r="G324" s="51"/>
      <c r="H324" s="6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51"/>
      <c r="E325" s="51"/>
      <c r="F325" s="51"/>
      <c r="G325" s="51"/>
      <c r="H325" s="6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51"/>
      <c r="E326" s="51"/>
      <c r="F326" s="51"/>
      <c r="G326" s="51"/>
      <c r="H326" s="6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51"/>
      <c r="E327" s="51"/>
      <c r="F327" s="51"/>
      <c r="G327" s="51"/>
      <c r="H327" s="6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51"/>
      <c r="E328" s="51"/>
      <c r="F328" s="51"/>
      <c r="G328" s="51"/>
      <c r="H328" s="6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51"/>
      <c r="E329" s="51"/>
      <c r="F329" s="51"/>
      <c r="G329" s="51"/>
      <c r="H329" s="6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51"/>
      <c r="E330" s="51"/>
      <c r="F330" s="51"/>
      <c r="G330" s="51"/>
      <c r="H330" s="6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51"/>
      <c r="E331" s="51"/>
      <c r="F331" s="51"/>
      <c r="G331" s="51"/>
      <c r="H331" s="6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51"/>
      <c r="E332" s="51"/>
      <c r="F332" s="51"/>
      <c r="G332" s="51"/>
      <c r="H332" s="6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51"/>
      <c r="E333" s="51"/>
      <c r="F333" s="51"/>
      <c r="G333" s="51"/>
      <c r="H333" s="6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51"/>
      <c r="E334" s="51"/>
      <c r="F334" s="51"/>
      <c r="G334" s="51"/>
      <c r="H334" s="6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51"/>
      <c r="E335" s="51"/>
      <c r="F335" s="51"/>
      <c r="G335" s="51"/>
      <c r="H335" s="6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51"/>
      <c r="E336" s="51"/>
      <c r="F336" s="51"/>
      <c r="G336" s="51"/>
      <c r="H336" s="6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51"/>
      <c r="E337" s="51"/>
      <c r="F337" s="51"/>
      <c r="G337" s="51"/>
      <c r="H337" s="6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51"/>
      <c r="E338" s="51"/>
      <c r="F338" s="51"/>
      <c r="G338" s="51"/>
      <c r="H338" s="6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51"/>
      <c r="E339" s="51"/>
      <c r="F339" s="51"/>
      <c r="G339" s="51"/>
      <c r="H339" s="6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51"/>
      <c r="E340" s="51"/>
      <c r="F340" s="51"/>
      <c r="G340" s="51"/>
      <c r="H340" s="6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51"/>
      <c r="E341" s="51"/>
      <c r="F341" s="51"/>
      <c r="G341" s="51"/>
      <c r="H341" s="6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51"/>
      <c r="E342" s="51"/>
      <c r="F342" s="51"/>
      <c r="G342" s="51"/>
      <c r="H342" s="6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51"/>
      <c r="E343" s="51"/>
      <c r="F343" s="51"/>
      <c r="G343" s="51"/>
      <c r="H343" s="6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51"/>
      <c r="E344" s="51"/>
      <c r="F344" s="51"/>
      <c r="G344" s="51"/>
      <c r="H344" s="6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51"/>
      <c r="E345" s="51"/>
      <c r="F345" s="51"/>
      <c r="G345" s="51"/>
      <c r="H345" s="6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51"/>
      <c r="E346" s="51"/>
      <c r="F346" s="51"/>
      <c r="G346" s="51"/>
      <c r="H346" s="6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51"/>
      <c r="E347" s="51"/>
      <c r="F347" s="51"/>
      <c r="G347" s="51"/>
      <c r="H347" s="6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51"/>
      <c r="E348" s="51"/>
      <c r="F348" s="51"/>
      <c r="G348" s="51"/>
      <c r="H348" s="6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51"/>
      <c r="E349" s="51"/>
      <c r="F349" s="51"/>
      <c r="G349" s="51"/>
      <c r="H349" s="6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51"/>
      <c r="E350" s="51"/>
      <c r="F350" s="51"/>
      <c r="G350" s="51"/>
      <c r="H350" s="6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51"/>
      <c r="E351" s="51"/>
      <c r="F351" s="51"/>
      <c r="G351" s="51"/>
      <c r="H351" s="6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51"/>
      <c r="E352" s="51"/>
      <c r="F352" s="51"/>
      <c r="G352" s="51"/>
      <c r="H352" s="6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51"/>
      <c r="E353" s="51"/>
      <c r="F353" s="51"/>
      <c r="G353" s="51"/>
      <c r="H353" s="6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51"/>
      <c r="E354" s="51"/>
      <c r="F354" s="51"/>
      <c r="G354" s="51"/>
      <c r="H354" s="6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51"/>
      <c r="E355" s="51"/>
      <c r="F355" s="51"/>
      <c r="G355" s="51"/>
      <c r="H355" s="6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51"/>
      <c r="E356" s="51"/>
      <c r="F356" s="51"/>
      <c r="G356" s="51"/>
      <c r="H356" s="6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51"/>
      <c r="E357" s="51"/>
      <c r="F357" s="51"/>
      <c r="G357" s="51"/>
      <c r="H357" s="6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51"/>
      <c r="E358" s="51"/>
      <c r="F358" s="51"/>
      <c r="G358" s="51"/>
      <c r="H358" s="6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51"/>
      <c r="E359" s="51"/>
      <c r="F359" s="51"/>
      <c r="G359" s="51"/>
      <c r="H359" s="6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51"/>
      <c r="E360" s="51"/>
      <c r="F360" s="51"/>
      <c r="G360" s="51"/>
      <c r="H360" s="6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51"/>
      <c r="E361" s="51"/>
      <c r="F361" s="51"/>
      <c r="G361" s="51"/>
      <c r="H361" s="6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51"/>
      <c r="E362" s="51"/>
      <c r="F362" s="51"/>
      <c r="G362" s="51"/>
      <c r="H362" s="6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51"/>
      <c r="E363" s="51"/>
      <c r="F363" s="51"/>
      <c r="G363" s="51"/>
      <c r="H363" s="6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51"/>
      <c r="E364" s="51"/>
      <c r="F364" s="51"/>
      <c r="G364" s="51"/>
      <c r="H364" s="6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51"/>
      <c r="E365" s="51"/>
      <c r="F365" s="51"/>
      <c r="G365" s="51"/>
      <c r="H365" s="6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51"/>
      <c r="E366" s="51"/>
      <c r="F366" s="51"/>
      <c r="G366" s="51"/>
      <c r="H366" s="6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51"/>
      <c r="E367" s="51"/>
      <c r="F367" s="51"/>
      <c r="G367" s="51"/>
      <c r="H367" s="6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51"/>
      <c r="E368" s="51"/>
      <c r="F368" s="51"/>
      <c r="G368" s="51"/>
      <c r="H368" s="6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51"/>
      <c r="E369" s="51"/>
      <c r="F369" s="51"/>
      <c r="G369" s="51"/>
      <c r="H369" s="6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51"/>
      <c r="E370" s="51"/>
      <c r="F370" s="51"/>
      <c r="G370" s="51"/>
      <c r="H370" s="6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51"/>
      <c r="E371" s="51"/>
      <c r="F371" s="51"/>
      <c r="G371" s="51"/>
      <c r="H371" s="6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51"/>
      <c r="E372" s="51"/>
      <c r="F372" s="51"/>
      <c r="G372" s="51"/>
      <c r="H372" s="6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51"/>
      <c r="E373" s="51"/>
      <c r="F373" s="51"/>
      <c r="G373" s="51"/>
      <c r="H373" s="6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51"/>
      <c r="E374" s="51"/>
      <c r="F374" s="51"/>
      <c r="G374" s="51"/>
      <c r="H374" s="6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51"/>
      <c r="E375" s="51"/>
      <c r="F375" s="51"/>
      <c r="G375" s="51"/>
      <c r="H375" s="6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51"/>
      <c r="E376" s="51"/>
      <c r="F376" s="51"/>
      <c r="G376" s="51"/>
      <c r="H376" s="6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51"/>
      <c r="E377" s="51"/>
      <c r="F377" s="51"/>
      <c r="G377" s="51"/>
      <c r="H377" s="6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51"/>
      <c r="E378" s="51"/>
      <c r="F378" s="51"/>
      <c r="G378" s="51"/>
      <c r="H378" s="6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51"/>
      <c r="E379" s="51"/>
      <c r="F379" s="51"/>
      <c r="G379" s="51"/>
      <c r="H379" s="6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51"/>
      <c r="E380" s="51"/>
      <c r="F380" s="51"/>
      <c r="G380" s="51"/>
      <c r="H380" s="6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51"/>
      <c r="E381" s="51"/>
      <c r="F381" s="51"/>
      <c r="G381" s="51"/>
      <c r="H381" s="6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51"/>
      <c r="E382" s="51"/>
      <c r="F382" s="51"/>
      <c r="G382" s="51"/>
      <c r="H382" s="6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51"/>
      <c r="E383" s="51"/>
      <c r="F383" s="51"/>
      <c r="G383" s="51"/>
      <c r="H383" s="6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51"/>
      <c r="E384" s="51"/>
      <c r="F384" s="51"/>
      <c r="G384" s="51"/>
      <c r="H384" s="6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51"/>
      <c r="E385" s="51"/>
      <c r="F385" s="51"/>
      <c r="G385" s="51"/>
      <c r="H385" s="6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51"/>
      <c r="E386" s="51"/>
      <c r="F386" s="51"/>
      <c r="G386" s="51"/>
      <c r="H386" s="6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51"/>
      <c r="E387" s="51"/>
      <c r="F387" s="51"/>
      <c r="G387" s="51"/>
      <c r="H387" s="6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51"/>
      <c r="E388" s="51"/>
      <c r="F388" s="51"/>
      <c r="G388" s="51"/>
      <c r="H388" s="6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51"/>
      <c r="E389" s="51"/>
      <c r="F389" s="51"/>
      <c r="G389" s="51"/>
      <c r="H389" s="6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51"/>
      <c r="E390" s="51"/>
      <c r="F390" s="51"/>
      <c r="G390" s="51"/>
      <c r="H390" s="6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51"/>
      <c r="E391" s="51"/>
      <c r="F391" s="51"/>
      <c r="G391" s="51"/>
      <c r="H391" s="6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51"/>
      <c r="E392" s="51"/>
      <c r="F392" s="51"/>
      <c r="G392" s="51"/>
      <c r="H392" s="6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51"/>
      <c r="E393" s="51"/>
      <c r="F393" s="51"/>
      <c r="G393" s="51"/>
      <c r="H393" s="6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51"/>
      <c r="E394" s="51"/>
      <c r="F394" s="51"/>
      <c r="G394" s="51"/>
      <c r="H394" s="6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51"/>
      <c r="E395" s="51"/>
      <c r="F395" s="51"/>
      <c r="G395" s="51"/>
      <c r="H395" s="6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51"/>
      <c r="E396" s="51"/>
      <c r="F396" s="51"/>
      <c r="G396" s="51"/>
      <c r="H396" s="6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51"/>
      <c r="E397" s="51"/>
      <c r="F397" s="51"/>
      <c r="G397" s="51"/>
      <c r="H397" s="6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51"/>
      <c r="E398" s="51"/>
      <c r="F398" s="51"/>
      <c r="G398" s="51"/>
      <c r="H398" s="6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51"/>
      <c r="E399" s="51"/>
      <c r="F399" s="51"/>
      <c r="G399" s="51"/>
      <c r="H399" s="6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51"/>
      <c r="E400" s="51"/>
      <c r="F400" s="51"/>
      <c r="G400" s="51"/>
      <c r="H400" s="6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51"/>
      <c r="E401" s="51"/>
      <c r="F401" s="51"/>
      <c r="G401" s="51"/>
      <c r="H401" s="6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51"/>
      <c r="E402" s="51"/>
      <c r="F402" s="51"/>
      <c r="G402" s="51"/>
      <c r="H402" s="6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51"/>
      <c r="E403" s="51"/>
      <c r="F403" s="51"/>
      <c r="G403" s="51"/>
      <c r="H403" s="6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51"/>
      <c r="E404" s="51"/>
      <c r="F404" s="51"/>
      <c r="G404" s="51"/>
      <c r="H404" s="6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51"/>
      <c r="E405" s="51"/>
      <c r="F405" s="51"/>
      <c r="G405" s="51"/>
      <c r="H405" s="6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51"/>
      <c r="E406" s="51"/>
      <c r="F406" s="51"/>
      <c r="G406" s="51"/>
      <c r="H406" s="6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51"/>
      <c r="E407" s="51"/>
      <c r="F407" s="51"/>
      <c r="G407" s="51"/>
      <c r="H407" s="6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51"/>
      <c r="E408" s="51"/>
      <c r="F408" s="51"/>
      <c r="G408" s="51"/>
      <c r="H408" s="6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51"/>
      <c r="E409" s="51"/>
      <c r="F409" s="51"/>
      <c r="G409" s="51"/>
      <c r="H409" s="6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51"/>
      <c r="E410" s="51"/>
      <c r="F410" s="51"/>
      <c r="G410" s="51"/>
      <c r="H410" s="6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51"/>
      <c r="E411" s="51"/>
      <c r="F411" s="51"/>
      <c r="G411" s="51"/>
      <c r="H411" s="6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51"/>
      <c r="E412" s="51"/>
      <c r="F412" s="51"/>
      <c r="G412" s="51"/>
      <c r="H412" s="6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51"/>
      <c r="E413" s="51"/>
      <c r="F413" s="51"/>
      <c r="G413" s="51"/>
      <c r="H413" s="6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51"/>
      <c r="E414" s="51"/>
      <c r="F414" s="51"/>
      <c r="G414" s="51"/>
      <c r="H414" s="6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51"/>
      <c r="E415" s="51"/>
      <c r="F415" s="51"/>
      <c r="G415" s="51"/>
      <c r="H415" s="6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51"/>
      <c r="E416" s="51"/>
      <c r="F416" s="51"/>
      <c r="G416" s="51"/>
      <c r="H416" s="6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51"/>
      <c r="E417" s="51"/>
      <c r="F417" s="51"/>
      <c r="G417" s="51"/>
      <c r="H417" s="6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51"/>
      <c r="E418" s="51"/>
      <c r="F418" s="51"/>
      <c r="G418" s="51"/>
      <c r="H418" s="6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51"/>
      <c r="E419" s="51"/>
      <c r="F419" s="51"/>
      <c r="G419" s="51"/>
      <c r="H419" s="6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51"/>
      <c r="E420" s="51"/>
      <c r="F420" s="51"/>
      <c r="G420" s="51"/>
      <c r="H420" s="6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51"/>
      <c r="E421" s="51"/>
      <c r="F421" s="51"/>
      <c r="G421" s="51"/>
      <c r="H421" s="6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51"/>
      <c r="E422" s="51"/>
      <c r="F422" s="51"/>
      <c r="G422" s="51"/>
      <c r="H422" s="6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51"/>
      <c r="E423" s="51"/>
      <c r="F423" s="51"/>
      <c r="G423" s="51"/>
      <c r="H423" s="6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51"/>
      <c r="E424" s="51"/>
      <c r="F424" s="51"/>
      <c r="G424" s="51"/>
      <c r="H424" s="6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51"/>
      <c r="E425" s="51"/>
      <c r="F425" s="51"/>
      <c r="G425" s="51"/>
      <c r="H425" s="6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51"/>
      <c r="E426" s="51"/>
      <c r="F426" s="51"/>
      <c r="G426" s="51"/>
      <c r="H426" s="6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51"/>
      <c r="E427" s="51"/>
      <c r="F427" s="51"/>
      <c r="G427" s="51"/>
      <c r="H427" s="6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51"/>
      <c r="E428" s="51"/>
      <c r="F428" s="51"/>
      <c r="G428" s="51"/>
      <c r="H428" s="6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51"/>
      <c r="E429" s="51"/>
      <c r="F429" s="51"/>
      <c r="G429" s="51"/>
      <c r="H429" s="6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51"/>
      <c r="E430" s="51"/>
      <c r="F430" s="51"/>
      <c r="G430" s="51"/>
      <c r="H430" s="6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51"/>
      <c r="E431" s="51"/>
      <c r="F431" s="51"/>
      <c r="G431" s="51"/>
      <c r="H431" s="6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51"/>
      <c r="E432" s="51"/>
      <c r="F432" s="51"/>
      <c r="G432" s="51"/>
      <c r="H432" s="6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51"/>
      <c r="E433" s="51"/>
      <c r="F433" s="51"/>
      <c r="G433" s="51"/>
      <c r="H433" s="6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51"/>
      <c r="E434" s="51"/>
      <c r="F434" s="51"/>
      <c r="G434" s="51"/>
      <c r="H434" s="6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51"/>
      <c r="E435" s="51"/>
      <c r="F435" s="51"/>
      <c r="G435" s="51"/>
      <c r="H435" s="6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51"/>
      <c r="E436" s="51"/>
      <c r="F436" s="51"/>
      <c r="G436" s="51"/>
      <c r="H436" s="6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51"/>
      <c r="E437" s="51"/>
      <c r="F437" s="51"/>
      <c r="G437" s="51"/>
      <c r="H437" s="6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51"/>
      <c r="E438" s="51"/>
      <c r="F438" s="51"/>
      <c r="G438" s="51"/>
      <c r="H438" s="6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51"/>
      <c r="E439" s="51"/>
      <c r="F439" s="51"/>
      <c r="G439" s="51"/>
      <c r="H439" s="6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51"/>
      <c r="E440" s="51"/>
      <c r="F440" s="51"/>
      <c r="G440" s="51"/>
      <c r="H440" s="6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51"/>
      <c r="E441" s="51"/>
      <c r="F441" s="51"/>
      <c r="G441" s="51"/>
      <c r="H441" s="6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51"/>
      <c r="E442" s="51"/>
      <c r="F442" s="51"/>
      <c r="G442" s="51"/>
      <c r="H442" s="6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51"/>
      <c r="E443" s="51"/>
      <c r="F443" s="51"/>
      <c r="G443" s="51"/>
      <c r="H443" s="6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51"/>
      <c r="E444" s="51"/>
      <c r="F444" s="51"/>
      <c r="G444" s="51"/>
      <c r="H444" s="6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51"/>
      <c r="E445" s="51"/>
      <c r="F445" s="51"/>
      <c r="G445" s="51"/>
      <c r="H445" s="6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51"/>
      <c r="E446" s="51"/>
      <c r="F446" s="51"/>
      <c r="G446" s="51"/>
      <c r="H446" s="6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51"/>
      <c r="E447" s="51"/>
      <c r="F447" s="51"/>
      <c r="G447" s="51"/>
      <c r="H447" s="6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51"/>
      <c r="E448" s="51"/>
      <c r="F448" s="51"/>
      <c r="G448" s="51"/>
      <c r="H448" s="6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51"/>
      <c r="E449" s="51"/>
      <c r="F449" s="51"/>
      <c r="G449" s="51"/>
      <c r="H449" s="6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51"/>
      <c r="E450" s="51"/>
      <c r="F450" s="51"/>
      <c r="G450" s="51"/>
      <c r="H450" s="6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51"/>
      <c r="E451" s="51"/>
      <c r="F451" s="51"/>
      <c r="G451" s="51"/>
      <c r="H451" s="6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51"/>
      <c r="E452" s="51"/>
      <c r="F452" s="51"/>
      <c r="G452" s="51"/>
      <c r="H452" s="6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51"/>
      <c r="E453" s="51"/>
      <c r="F453" s="51"/>
      <c r="G453" s="51"/>
      <c r="H453" s="6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51"/>
      <c r="E454" s="51"/>
      <c r="F454" s="51"/>
      <c r="G454" s="51"/>
      <c r="H454" s="6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51"/>
      <c r="E455" s="51"/>
      <c r="F455" s="51"/>
      <c r="G455" s="51"/>
      <c r="H455" s="6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51"/>
      <c r="E456" s="51"/>
      <c r="F456" s="51"/>
      <c r="G456" s="51"/>
      <c r="H456" s="6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51"/>
      <c r="E457" s="51"/>
      <c r="F457" s="51"/>
      <c r="G457" s="51"/>
      <c r="H457" s="6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51"/>
      <c r="E458" s="51"/>
      <c r="F458" s="51"/>
      <c r="G458" s="51"/>
      <c r="H458" s="6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51"/>
      <c r="E459" s="51"/>
      <c r="F459" s="51"/>
      <c r="G459" s="51"/>
      <c r="H459" s="6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51"/>
      <c r="E460" s="51"/>
      <c r="F460" s="51"/>
      <c r="G460" s="51"/>
      <c r="H460" s="6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51"/>
      <c r="E461" s="51"/>
      <c r="F461" s="51"/>
      <c r="G461" s="51"/>
      <c r="H461" s="6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51"/>
      <c r="E462" s="51"/>
      <c r="F462" s="51"/>
      <c r="G462" s="51"/>
      <c r="H462" s="6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51"/>
      <c r="E463" s="51"/>
      <c r="F463" s="51"/>
      <c r="G463" s="51"/>
      <c r="H463" s="6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51"/>
      <c r="E464" s="51"/>
      <c r="F464" s="51"/>
      <c r="G464" s="51"/>
      <c r="H464" s="6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51"/>
      <c r="E465" s="51"/>
      <c r="F465" s="51"/>
      <c r="G465" s="51"/>
      <c r="H465" s="6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51"/>
      <c r="E466" s="51"/>
      <c r="F466" s="51"/>
      <c r="G466" s="51"/>
      <c r="H466" s="6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51"/>
      <c r="E467" s="51"/>
      <c r="F467" s="51"/>
      <c r="G467" s="51"/>
      <c r="H467" s="6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51"/>
      <c r="E468" s="51"/>
      <c r="F468" s="51"/>
      <c r="G468" s="51"/>
      <c r="H468" s="6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51"/>
      <c r="E469" s="51"/>
      <c r="F469" s="51"/>
      <c r="G469" s="51"/>
      <c r="H469" s="6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51"/>
      <c r="E470" s="51"/>
      <c r="F470" s="51"/>
      <c r="G470" s="51"/>
      <c r="H470" s="6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51"/>
      <c r="E471" s="51"/>
      <c r="F471" s="51"/>
      <c r="G471" s="51"/>
      <c r="H471" s="6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51"/>
      <c r="E472" s="51"/>
      <c r="F472" s="51"/>
      <c r="G472" s="51"/>
      <c r="H472" s="6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51"/>
      <c r="E473" s="51"/>
      <c r="F473" s="51"/>
      <c r="G473" s="51"/>
      <c r="H473" s="6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51"/>
      <c r="E474" s="51"/>
      <c r="F474" s="51"/>
      <c r="G474" s="51"/>
      <c r="H474" s="6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51"/>
      <c r="E475" s="51"/>
      <c r="F475" s="51"/>
      <c r="G475" s="51"/>
      <c r="H475" s="6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51"/>
      <c r="E476" s="51"/>
      <c r="F476" s="51"/>
      <c r="G476" s="51"/>
      <c r="H476" s="6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51"/>
      <c r="E477" s="51"/>
      <c r="F477" s="51"/>
      <c r="G477" s="51"/>
      <c r="H477" s="6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51"/>
      <c r="E478" s="51"/>
      <c r="F478" s="51"/>
      <c r="G478" s="51"/>
      <c r="H478" s="6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51"/>
      <c r="E479" s="51"/>
      <c r="F479" s="51"/>
      <c r="G479" s="51"/>
      <c r="H479" s="6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51"/>
      <c r="E480" s="51"/>
      <c r="F480" s="51"/>
      <c r="G480" s="51"/>
      <c r="H480" s="6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51"/>
      <c r="E481" s="51"/>
      <c r="F481" s="51"/>
      <c r="G481" s="51"/>
      <c r="H481" s="6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51"/>
      <c r="E482" s="51"/>
      <c r="F482" s="51"/>
      <c r="G482" s="51"/>
      <c r="H482" s="6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51"/>
      <c r="E483" s="51"/>
      <c r="F483" s="51"/>
      <c r="G483" s="51"/>
      <c r="H483" s="6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51"/>
      <c r="E484" s="51"/>
      <c r="F484" s="51"/>
      <c r="G484" s="51"/>
      <c r="H484" s="6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51"/>
      <c r="E485" s="51"/>
      <c r="F485" s="51"/>
      <c r="G485" s="51"/>
      <c r="H485" s="6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51"/>
      <c r="E486" s="51"/>
      <c r="F486" s="51"/>
      <c r="G486" s="51"/>
      <c r="H486" s="6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51"/>
      <c r="E487" s="51"/>
      <c r="F487" s="51"/>
      <c r="G487" s="51"/>
      <c r="H487" s="6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51"/>
      <c r="E488" s="51"/>
      <c r="F488" s="51"/>
      <c r="G488" s="51"/>
      <c r="H488" s="6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51"/>
      <c r="E489" s="51"/>
      <c r="F489" s="51"/>
      <c r="G489" s="51"/>
      <c r="H489" s="6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51"/>
      <c r="E490" s="51"/>
      <c r="F490" s="51"/>
      <c r="G490" s="51"/>
      <c r="H490" s="6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51"/>
      <c r="E491" s="51"/>
      <c r="F491" s="51"/>
      <c r="G491" s="51"/>
      <c r="H491" s="6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51"/>
      <c r="E492" s="51"/>
      <c r="F492" s="51"/>
      <c r="G492" s="51"/>
      <c r="H492" s="6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51"/>
      <c r="E493" s="51"/>
      <c r="F493" s="51"/>
      <c r="G493" s="51"/>
      <c r="H493" s="6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51"/>
      <c r="E494" s="51"/>
      <c r="F494" s="51"/>
      <c r="G494" s="51"/>
      <c r="H494" s="6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51"/>
      <c r="E495" s="51"/>
      <c r="F495" s="51"/>
      <c r="G495" s="51"/>
      <c r="H495" s="6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51"/>
      <c r="E496" s="51"/>
      <c r="F496" s="51"/>
      <c r="G496" s="51"/>
      <c r="H496" s="6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51"/>
      <c r="E497" s="51"/>
      <c r="F497" s="51"/>
      <c r="G497" s="51"/>
      <c r="H497" s="6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51"/>
      <c r="E498" s="51"/>
      <c r="F498" s="51"/>
      <c r="G498" s="51"/>
      <c r="H498" s="6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51"/>
      <c r="E499" s="51"/>
      <c r="F499" s="51"/>
      <c r="G499" s="51"/>
      <c r="H499" s="6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51"/>
      <c r="E500" s="51"/>
      <c r="F500" s="51"/>
      <c r="G500" s="51"/>
      <c r="H500" s="6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51"/>
      <c r="E501" s="51"/>
      <c r="F501" s="51"/>
      <c r="G501" s="51"/>
      <c r="H501" s="6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51"/>
      <c r="E502" s="51"/>
      <c r="F502" s="51"/>
      <c r="G502" s="51"/>
      <c r="H502" s="6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51"/>
      <c r="E503" s="51"/>
      <c r="F503" s="51"/>
      <c r="G503" s="51"/>
      <c r="H503" s="6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51"/>
      <c r="E504" s="51"/>
      <c r="F504" s="51"/>
      <c r="G504" s="51"/>
      <c r="H504" s="6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51"/>
      <c r="E505" s="51"/>
      <c r="F505" s="51"/>
      <c r="G505" s="51"/>
      <c r="H505" s="6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51"/>
      <c r="E506" s="51"/>
      <c r="F506" s="51"/>
      <c r="G506" s="51"/>
      <c r="H506" s="6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51"/>
      <c r="E507" s="51"/>
      <c r="F507" s="51"/>
      <c r="G507" s="51"/>
      <c r="H507" s="6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51"/>
      <c r="E508" s="51"/>
      <c r="F508" s="51"/>
      <c r="G508" s="51"/>
      <c r="H508" s="6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51"/>
      <c r="E509" s="51"/>
      <c r="F509" s="51"/>
      <c r="G509" s="51"/>
      <c r="H509" s="6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51"/>
      <c r="E510" s="51"/>
      <c r="F510" s="51"/>
      <c r="G510" s="51"/>
      <c r="H510" s="6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51"/>
      <c r="E511" s="51"/>
      <c r="F511" s="51"/>
      <c r="G511" s="51"/>
      <c r="H511" s="6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51"/>
      <c r="E512" s="51"/>
      <c r="F512" s="51"/>
      <c r="G512" s="51"/>
      <c r="H512" s="6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51"/>
      <c r="E513" s="51"/>
      <c r="F513" s="51"/>
      <c r="G513" s="51"/>
      <c r="H513" s="6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51"/>
      <c r="E514" s="51"/>
      <c r="F514" s="51"/>
      <c r="G514" s="51"/>
      <c r="H514" s="6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51"/>
      <c r="E515" s="51"/>
      <c r="F515" s="51"/>
      <c r="G515" s="51"/>
      <c r="H515" s="6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51"/>
      <c r="E516" s="51"/>
      <c r="F516" s="51"/>
      <c r="G516" s="51"/>
      <c r="H516" s="6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51"/>
      <c r="E517" s="51"/>
      <c r="F517" s="51"/>
      <c r="G517" s="51"/>
      <c r="H517" s="6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51"/>
      <c r="E518" s="51"/>
      <c r="F518" s="51"/>
      <c r="G518" s="51"/>
      <c r="H518" s="6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51"/>
      <c r="E519" s="51"/>
      <c r="F519" s="51"/>
      <c r="G519" s="51"/>
      <c r="H519" s="6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51"/>
      <c r="E520" s="51"/>
      <c r="F520" s="51"/>
      <c r="G520" s="51"/>
      <c r="H520" s="6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51"/>
      <c r="E521" s="51"/>
      <c r="F521" s="51"/>
      <c r="G521" s="51"/>
      <c r="H521" s="6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51"/>
      <c r="E522" s="51"/>
      <c r="F522" s="51"/>
      <c r="G522" s="51"/>
      <c r="H522" s="6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51"/>
      <c r="E523" s="51"/>
      <c r="F523" s="51"/>
      <c r="G523" s="51"/>
      <c r="H523" s="6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51"/>
      <c r="E524" s="51"/>
      <c r="F524" s="51"/>
      <c r="G524" s="51"/>
      <c r="H524" s="6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51"/>
      <c r="E525" s="51"/>
      <c r="F525" s="51"/>
      <c r="G525" s="51"/>
      <c r="H525" s="6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51"/>
      <c r="E526" s="51"/>
      <c r="F526" s="51"/>
      <c r="G526" s="51"/>
      <c r="H526" s="6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51"/>
      <c r="E527" s="51"/>
      <c r="F527" s="51"/>
      <c r="G527" s="51"/>
      <c r="H527" s="6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51"/>
      <c r="E528" s="51"/>
      <c r="F528" s="51"/>
      <c r="G528" s="51"/>
      <c r="H528" s="6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51"/>
      <c r="E529" s="51"/>
      <c r="F529" s="51"/>
      <c r="G529" s="51"/>
      <c r="H529" s="6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51"/>
      <c r="E530" s="51"/>
      <c r="F530" s="51"/>
      <c r="G530" s="51"/>
      <c r="H530" s="6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51"/>
      <c r="E531" s="51"/>
      <c r="F531" s="51"/>
      <c r="G531" s="51"/>
      <c r="H531" s="6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51"/>
      <c r="E532" s="51"/>
      <c r="F532" s="51"/>
      <c r="G532" s="51"/>
      <c r="H532" s="6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51"/>
      <c r="E533" s="51"/>
      <c r="F533" s="51"/>
      <c r="G533" s="51"/>
      <c r="H533" s="6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51"/>
      <c r="E534" s="51"/>
      <c r="F534" s="51"/>
      <c r="G534" s="51"/>
      <c r="H534" s="6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51"/>
      <c r="E535" s="51"/>
      <c r="F535" s="51"/>
      <c r="G535" s="51"/>
      <c r="H535" s="6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51"/>
      <c r="E536" s="51"/>
      <c r="F536" s="51"/>
      <c r="G536" s="51"/>
      <c r="H536" s="6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51"/>
      <c r="E537" s="51"/>
      <c r="F537" s="51"/>
      <c r="G537" s="51"/>
      <c r="H537" s="6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51"/>
      <c r="E538" s="51"/>
      <c r="F538" s="51"/>
      <c r="G538" s="51"/>
      <c r="H538" s="6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51"/>
      <c r="E539" s="51"/>
      <c r="F539" s="51"/>
      <c r="G539" s="51"/>
      <c r="H539" s="6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51"/>
      <c r="E540" s="51"/>
      <c r="F540" s="51"/>
      <c r="G540" s="51"/>
      <c r="H540" s="6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51"/>
      <c r="E541" s="51"/>
      <c r="F541" s="51"/>
      <c r="G541" s="51"/>
      <c r="H541" s="6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51"/>
      <c r="E542" s="51"/>
      <c r="F542" s="51"/>
      <c r="G542" s="51"/>
      <c r="H542" s="6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51"/>
      <c r="E543" s="51"/>
      <c r="F543" s="51"/>
      <c r="G543" s="51"/>
      <c r="H543" s="6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51"/>
      <c r="E544" s="51"/>
      <c r="F544" s="51"/>
      <c r="G544" s="51"/>
      <c r="H544" s="6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51"/>
      <c r="E545" s="51"/>
      <c r="F545" s="51"/>
      <c r="G545" s="51"/>
      <c r="H545" s="6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51"/>
      <c r="E546" s="51"/>
      <c r="F546" s="51"/>
      <c r="G546" s="51"/>
      <c r="H546" s="6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51"/>
      <c r="E547" s="51"/>
      <c r="F547" s="51"/>
      <c r="G547" s="51"/>
      <c r="H547" s="6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51"/>
      <c r="E548" s="51"/>
      <c r="F548" s="51"/>
      <c r="G548" s="51"/>
      <c r="H548" s="6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51"/>
      <c r="E549" s="51"/>
      <c r="F549" s="51"/>
      <c r="G549" s="51"/>
      <c r="H549" s="6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51"/>
      <c r="E550" s="51"/>
      <c r="F550" s="51"/>
      <c r="G550" s="51"/>
      <c r="H550" s="6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51"/>
      <c r="E551" s="51"/>
      <c r="F551" s="51"/>
      <c r="G551" s="51"/>
      <c r="H551" s="6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51"/>
      <c r="E552" s="51"/>
      <c r="F552" s="51"/>
      <c r="G552" s="51"/>
      <c r="H552" s="6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51"/>
      <c r="E553" s="51"/>
      <c r="F553" s="51"/>
      <c r="G553" s="51"/>
      <c r="H553" s="6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51"/>
      <c r="E554" s="51"/>
      <c r="F554" s="51"/>
      <c r="G554" s="51"/>
      <c r="H554" s="6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51"/>
      <c r="E555" s="51"/>
      <c r="F555" s="51"/>
      <c r="G555" s="51"/>
      <c r="H555" s="6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51"/>
      <c r="E556" s="51"/>
      <c r="F556" s="51"/>
      <c r="G556" s="51"/>
      <c r="H556" s="6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51"/>
      <c r="E557" s="51"/>
      <c r="F557" s="51"/>
      <c r="G557" s="51"/>
      <c r="H557" s="6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51"/>
      <c r="E558" s="51"/>
      <c r="F558" s="51"/>
      <c r="G558" s="51"/>
      <c r="H558" s="6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51"/>
      <c r="E559" s="51"/>
      <c r="F559" s="51"/>
      <c r="G559" s="51"/>
      <c r="H559" s="6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51"/>
      <c r="E560" s="51"/>
      <c r="F560" s="51"/>
      <c r="G560" s="51"/>
      <c r="H560" s="6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51"/>
      <c r="E561" s="51"/>
      <c r="F561" s="51"/>
      <c r="G561" s="51"/>
      <c r="H561" s="6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51"/>
      <c r="E562" s="51"/>
      <c r="F562" s="51"/>
      <c r="G562" s="51"/>
      <c r="H562" s="6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51"/>
      <c r="E563" s="51"/>
      <c r="F563" s="51"/>
      <c r="G563" s="51"/>
      <c r="H563" s="6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51"/>
      <c r="E564" s="51"/>
      <c r="F564" s="51"/>
      <c r="G564" s="51"/>
      <c r="H564" s="6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51"/>
      <c r="E565" s="51"/>
      <c r="F565" s="51"/>
      <c r="G565" s="51"/>
      <c r="H565" s="6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51"/>
      <c r="E566" s="51"/>
      <c r="F566" s="51"/>
      <c r="G566" s="51"/>
      <c r="H566" s="6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51"/>
      <c r="E567" s="51"/>
      <c r="F567" s="51"/>
      <c r="G567" s="51"/>
      <c r="H567" s="6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51"/>
      <c r="E568" s="51"/>
      <c r="F568" s="51"/>
      <c r="G568" s="51"/>
      <c r="H568" s="6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51"/>
      <c r="E569" s="51"/>
      <c r="F569" s="51"/>
      <c r="G569" s="51"/>
      <c r="H569" s="6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51"/>
      <c r="E570" s="51"/>
      <c r="F570" s="51"/>
      <c r="G570" s="51"/>
      <c r="H570" s="6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51"/>
      <c r="E571" s="51"/>
      <c r="F571" s="51"/>
      <c r="G571" s="51"/>
      <c r="H571" s="6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51"/>
      <c r="E572" s="51"/>
      <c r="F572" s="51"/>
      <c r="G572" s="51"/>
      <c r="H572" s="6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51"/>
      <c r="E573" s="51"/>
      <c r="F573" s="51"/>
      <c r="G573" s="51"/>
      <c r="H573" s="6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51"/>
      <c r="E574" s="51"/>
      <c r="F574" s="51"/>
      <c r="G574" s="51"/>
      <c r="H574" s="6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51"/>
      <c r="E575" s="51"/>
      <c r="F575" s="51"/>
      <c r="G575" s="51"/>
      <c r="H575" s="6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51"/>
      <c r="E576" s="51"/>
      <c r="F576" s="51"/>
      <c r="G576" s="51"/>
      <c r="H576" s="6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51"/>
      <c r="E577" s="51"/>
      <c r="F577" s="51"/>
      <c r="G577" s="51"/>
      <c r="H577" s="6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51"/>
      <c r="E578" s="51"/>
      <c r="F578" s="51"/>
      <c r="G578" s="51"/>
      <c r="H578" s="6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51"/>
      <c r="E579" s="51"/>
      <c r="F579" s="51"/>
      <c r="G579" s="51"/>
      <c r="H579" s="6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51"/>
      <c r="E580" s="51"/>
      <c r="F580" s="51"/>
      <c r="G580" s="51"/>
      <c r="H580" s="6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51"/>
      <c r="E581" s="51"/>
      <c r="F581" s="51"/>
      <c r="G581" s="51"/>
      <c r="H581" s="6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51"/>
      <c r="E582" s="51"/>
      <c r="F582" s="51"/>
      <c r="G582" s="51"/>
      <c r="H582" s="6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51"/>
      <c r="E583" s="51"/>
      <c r="F583" s="51"/>
      <c r="G583" s="51"/>
      <c r="H583" s="6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51"/>
      <c r="E584" s="51"/>
      <c r="F584" s="51"/>
      <c r="G584" s="51"/>
      <c r="H584" s="6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51"/>
      <c r="E585" s="51"/>
      <c r="F585" s="51"/>
      <c r="G585" s="51"/>
      <c r="H585" s="6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51"/>
      <c r="E586" s="51"/>
      <c r="F586" s="51"/>
      <c r="G586" s="51"/>
      <c r="H586" s="6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51"/>
      <c r="E587" s="51"/>
      <c r="F587" s="51"/>
      <c r="G587" s="51"/>
      <c r="H587" s="6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51"/>
      <c r="E588" s="51"/>
      <c r="F588" s="51"/>
      <c r="G588" s="51"/>
      <c r="H588" s="6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51"/>
      <c r="E589" s="51"/>
      <c r="F589" s="51"/>
      <c r="G589" s="51"/>
      <c r="H589" s="6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51"/>
      <c r="E590" s="51"/>
      <c r="F590" s="51"/>
      <c r="G590" s="51"/>
      <c r="H590" s="6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51"/>
      <c r="E591" s="51"/>
      <c r="F591" s="51"/>
      <c r="G591" s="51"/>
      <c r="H591" s="6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51"/>
      <c r="E592" s="51"/>
      <c r="F592" s="51"/>
      <c r="G592" s="51"/>
      <c r="H592" s="6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51"/>
      <c r="E593" s="51"/>
      <c r="F593" s="51"/>
      <c r="G593" s="51"/>
      <c r="H593" s="6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51"/>
      <c r="E594" s="51"/>
      <c r="F594" s="51"/>
      <c r="G594" s="51"/>
      <c r="H594" s="6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51"/>
      <c r="E595" s="51"/>
      <c r="F595" s="51"/>
      <c r="G595" s="51"/>
      <c r="H595" s="6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51"/>
      <c r="E596" s="51"/>
      <c r="F596" s="51"/>
      <c r="G596" s="51"/>
      <c r="H596" s="6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51"/>
      <c r="E597" s="51"/>
      <c r="F597" s="51"/>
      <c r="G597" s="51"/>
      <c r="H597" s="6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51"/>
      <c r="E598" s="51"/>
      <c r="F598" s="51"/>
      <c r="G598" s="51"/>
      <c r="H598" s="6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51"/>
      <c r="E599" s="51"/>
      <c r="F599" s="51"/>
      <c r="G599" s="51"/>
      <c r="H599" s="6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51"/>
      <c r="E600" s="51"/>
      <c r="F600" s="51"/>
      <c r="G600" s="51"/>
      <c r="H600" s="6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51"/>
      <c r="E601" s="51"/>
      <c r="F601" s="51"/>
      <c r="G601" s="51"/>
      <c r="H601" s="6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51"/>
      <c r="E602" s="51"/>
      <c r="F602" s="51"/>
      <c r="G602" s="51"/>
      <c r="H602" s="6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51"/>
      <c r="E603" s="51"/>
      <c r="F603" s="51"/>
      <c r="G603" s="51"/>
      <c r="H603" s="6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51"/>
      <c r="E604" s="51"/>
      <c r="F604" s="51"/>
      <c r="G604" s="51"/>
      <c r="H604" s="6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51"/>
      <c r="E605" s="51"/>
      <c r="F605" s="51"/>
      <c r="G605" s="51"/>
      <c r="H605" s="6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51"/>
      <c r="E606" s="51"/>
      <c r="F606" s="51"/>
      <c r="G606" s="51"/>
      <c r="H606" s="6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51"/>
      <c r="E607" s="51"/>
      <c r="F607" s="51"/>
      <c r="G607" s="51"/>
      <c r="H607" s="6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51"/>
      <c r="E608" s="51"/>
      <c r="F608" s="51"/>
      <c r="G608" s="51"/>
      <c r="H608" s="6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51"/>
      <c r="E609" s="51"/>
      <c r="F609" s="51"/>
      <c r="G609" s="51"/>
      <c r="H609" s="6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51"/>
      <c r="E610" s="51"/>
      <c r="F610" s="51"/>
      <c r="G610" s="51"/>
      <c r="H610" s="6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51"/>
      <c r="E611" s="51"/>
      <c r="F611" s="51"/>
      <c r="G611" s="51"/>
      <c r="H611" s="6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51"/>
      <c r="E612" s="51"/>
      <c r="F612" s="51"/>
      <c r="G612" s="51"/>
      <c r="H612" s="6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51"/>
      <c r="E613" s="51"/>
      <c r="F613" s="51"/>
      <c r="G613" s="51"/>
      <c r="H613" s="6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51"/>
      <c r="E614" s="51"/>
      <c r="F614" s="51"/>
      <c r="G614" s="51"/>
      <c r="H614" s="6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51"/>
      <c r="E615" s="51"/>
      <c r="F615" s="51"/>
      <c r="G615" s="51"/>
      <c r="H615" s="6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51"/>
      <c r="E616" s="51"/>
      <c r="F616" s="51"/>
      <c r="G616" s="51"/>
      <c r="H616" s="6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51"/>
      <c r="E617" s="51"/>
      <c r="F617" s="51"/>
      <c r="G617" s="51"/>
      <c r="H617" s="6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51"/>
      <c r="E618" s="51"/>
      <c r="F618" s="51"/>
      <c r="G618" s="51"/>
      <c r="H618" s="6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51"/>
      <c r="E619" s="51"/>
      <c r="F619" s="51"/>
      <c r="G619" s="51"/>
      <c r="H619" s="6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51"/>
      <c r="E620" s="51"/>
      <c r="F620" s="51"/>
      <c r="G620" s="51"/>
      <c r="H620" s="6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51"/>
      <c r="E621" s="51"/>
      <c r="F621" s="51"/>
      <c r="G621" s="51"/>
      <c r="H621" s="6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51"/>
      <c r="E622" s="51"/>
      <c r="F622" s="51"/>
      <c r="G622" s="51"/>
      <c r="H622" s="6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51"/>
      <c r="E623" s="51"/>
      <c r="F623" s="51"/>
      <c r="G623" s="51"/>
      <c r="H623" s="6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51"/>
      <c r="E624" s="51"/>
      <c r="F624" s="51"/>
      <c r="G624" s="51"/>
      <c r="H624" s="6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51"/>
      <c r="E625" s="51"/>
      <c r="F625" s="51"/>
      <c r="G625" s="51"/>
      <c r="H625" s="6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51"/>
      <c r="E626" s="51"/>
      <c r="F626" s="51"/>
      <c r="G626" s="51"/>
      <c r="H626" s="6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51"/>
      <c r="E627" s="51"/>
      <c r="F627" s="51"/>
      <c r="G627" s="51"/>
      <c r="H627" s="6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51"/>
      <c r="E628" s="51"/>
      <c r="F628" s="51"/>
      <c r="G628" s="51"/>
      <c r="H628" s="6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51"/>
      <c r="E629" s="51"/>
      <c r="F629" s="51"/>
      <c r="G629" s="51"/>
      <c r="H629" s="6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51"/>
      <c r="E630" s="51"/>
      <c r="F630" s="51"/>
      <c r="G630" s="51"/>
      <c r="H630" s="6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51"/>
      <c r="E631" s="51"/>
      <c r="F631" s="51"/>
      <c r="G631" s="51"/>
      <c r="H631" s="6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51"/>
      <c r="E632" s="51"/>
      <c r="F632" s="51"/>
      <c r="G632" s="51"/>
      <c r="H632" s="6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51"/>
      <c r="E633" s="51"/>
      <c r="F633" s="51"/>
      <c r="G633" s="51"/>
      <c r="H633" s="6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51"/>
      <c r="E634" s="51"/>
      <c r="F634" s="51"/>
      <c r="G634" s="51"/>
      <c r="H634" s="6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51"/>
      <c r="E635" s="51"/>
      <c r="F635" s="51"/>
      <c r="G635" s="51"/>
      <c r="H635" s="6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51"/>
      <c r="E636" s="51"/>
      <c r="F636" s="51"/>
      <c r="G636" s="51"/>
      <c r="H636" s="6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51"/>
      <c r="E637" s="51"/>
      <c r="F637" s="51"/>
      <c r="G637" s="51"/>
      <c r="H637" s="6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51"/>
      <c r="E638" s="51"/>
      <c r="F638" s="51"/>
      <c r="G638" s="51"/>
      <c r="H638" s="6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51"/>
      <c r="E639" s="51"/>
      <c r="F639" s="51"/>
      <c r="G639" s="51"/>
      <c r="H639" s="6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51"/>
      <c r="E640" s="51"/>
      <c r="F640" s="51"/>
      <c r="G640" s="51"/>
      <c r="H640" s="6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51"/>
      <c r="E641" s="51"/>
      <c r="F641" s="51"/>
      <c r="G641" s="51"/>
      <c r="H641" s="6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51"/>
      <c r="E642" s="51"/>
      <c r="F642" s="51"/>
      <c r="G642" s="51"/>
      <c r="H642" s="6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51"/>
      <c r="E643" s="51"/>
      <c r="F643" s="51"/>
      <c r="G643" s="51"/>
      <c r="H643" s="6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51"/>
      <c r="E644" s="51"/>
      <c r="F644" s="51"/>
      <c r="G644" s="51"/>
      <c r="H644" s="6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51"/>
      <c r="E645" s="51"/>
      <c r="F645" s="51"/>
      <c r="G645" s="51"/>
      <c r="H645" s="6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51"/>
      <c r="E646" s="51"/>
      <c r="F646" s="51"/>
      <c r="G646" s="51"/>
      <c r="H646" s="6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51"/>
      <c r="E647" s="51"/>
      <c r="F647" s="51"/>
      <c r="G647" s="51"/>
      <c r="H647" s="6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51"/>
      <c r="E648" s="51"/>
      <c r="F648" s="51"/>
      <c r="G648" s="51"/>
      <c r="H648" s="6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51"/>
      <c r="E649" s="51"/>
      <c r="F649" s="51"/>
      <c r="G649" s="51"/>
      <c r="H649" s="6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51"/>
      <c r="E650" s="51"/>
      <c r="F650" s="51"/>
      <c r="G650" s="51"/>
      <c r="H650" s="6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51"/>
      <c r="E651" s="51"/>
      <c r="F651" s="51"/>
      <c r="G651" s="51"/>
      <c r="H651" s="6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51"/>
      <c r="E652" s="51"/>
      <c r="F652" s="51"/>
      <c r="G652" s="51"/>
      <c r="H652" s="6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51"/>
      <c r="E653" s="51"/>
      <c r="F653" s="51"/>
      <c r="G653" s="51"/>
      <c r="H653" s="6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51"/>
      <c r="E654" s="51"/>
      <c r="F654" s="51"/>
      <c r="G654" s="51"/>
      <c r="H654" s="6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51"/>
      <c r="E655" s="51"/>
      <c r="F655" s="51"/>
      <c r="G655" s="51"/>
      <c r="H655" s="6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51"/>
      <c r="E656" s="51"/>
      <c r="F656" s="51"/>
      <c r="G656" s="51"/>
      <c r="H656" s="6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51"/>
      <c r="E657" s="51"/>
      <c r="F657" s="51"/>
      <c r="G657" s="51"/>
      <c r="H657" s="6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51"/>
      <c r="E658" s="51"/>
      <c r="F658" s="51"/>
      <c r="G658" s="51"/>
      <c r="H658" s="6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51"/>
      <c r="E659" s="51"/>
      <c r="F659" s="51"/>
      <c r="G659" s="51"/>
      <c r="H659" s="6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51"/>
      <c r="E660" s="51"/>
      <c r="F660" s="51"/>
      <c r="G660" s="51"/>
      <c r="H660" s="6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51"/>
      <c r="E661" s="51"/>
      <c r="F661" s="51"/>
      <c r="G661" s="51"/>
      <c r="H661" s="6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51"/>
      <c r="E662" s="51"/>
      <c r="F662" s="51"/>
      <c r="G662" s="51"/>
      <c r="H662" s="6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51"/>
      <c r="E663" s="51"/>
      <c r="F663" s="51"/>
      <c r="G663" s="51"/>
      <c r="H663" s="6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51"/>
      <c r="E664" s="51"/>
      <c r="F664" s="51"/>
      <c r="G664" s="51"/>
      <c r="H664" s="6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51"/>
      <c r="E665" s="51"/>
      <c r="F665" s="51"/>
      <c r="G665" s="51"/>
      <c r="H665" s="6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51"/>
      <c r="E666" s="51"/>
      <c r="F666" s="51"/>
      <c r="G666" s="51"/>
      <c r="H666" s="6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51"/>
      <c r="E667" s="51"/>
      <c r="F667" s="51"/>
      <c r="G667" s="51"/>
      <c r="H667" s="6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51"/>
      <c r="E668" s="51"/>
      <c r="F668" s="51"/>
      <c r="G668" s="51"/>
      <c r="H668" s="6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51"/>
      <c r="E669" s="51"/>
      <c r="F669" s="51"/>
      <c r="G669" s="51"/>
      <c r="H669" s="6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51"/>
      <c r="E670" s="51"/>
      <c r="F670" s="51"/>
      <c r="G670" s="51"/>
      <c r="H670" s="6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51"/>
      <c r="E671" s="51"/>
      <c r="F671" s="51"/>
      <c r="G671" s="51"/>
      <c r="H671" s="6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51"/>
      <c r="E672" s="51"/>
      <c r="F672" s="51"/>
      <c r="G672" s="51"/>
      <c r="H672" s="6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51"/>
      <c r="E673" s="51"/>
      <c r="F673" s="51"/>
      <c r="G673" s="51"/>
      <c r="H673" s="6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51"/>
      <c r="E674" s="51"/>
      <c r="F674" s="51"/>
      <c r="G674" s="51"/>
      <c r="H674" s="6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51"/>
      <c r="E675" s="51"/>
      <c r="F675" s="51"/>
      <c r="G675" s="51"/>
      <c r="H675" s="6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51"/>
      <c r="E676" s="51"/>
      <c r="F676" s="51"/>
      <c r="G676" s="51"/>
      <c r="H676" s="6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51"/>
      <c r="E677" s="51"/>
      <c r="F677" s="51"/>
      <c r="G677" s="51"/>
      <c r="H677" s="6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51"/>
      <c r="E678" s="51"/>
      <c r="F678" s="51"/>
      <c r="G678" s="51"/>
      <c r="H678" s="6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51"/>
      <c r="E679" s="51"/>
      <c r="F679" s="51"/>
      <c r="G679" s="51"/>
      <c r="H679" s="6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51"/>
      <c r="E680" s="51"/>
      <c r="F680" s="51"/>
      <c r="G680" s="51"/>
      <c r="H680" s="6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51"/>
      <c r="E681" s="51"/>
      <c r="F681" s="51"/>
      <c r="G681" s="51"/>
      <c r="H681" s="6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51"/>
      <c r="E682" s="51"/>
      <c r="F682" s="51"/>
      <c r="G682" s="51"/>
      <c r="H682" s="6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51"/>
      <c r="E683" s="51"/>
      <c r="F683" s="51"/>
      <c r="G683" s="51"/>
      <c r="H683" s="6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51"/>
      <c r="E684" s="51"/>
      <c r="F684" s="51"/>
      <c r="G684" s="51"/>
      <c r="H684" s="6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51"/>
      <c r="E685" s="51"/>
      <c r="F685" s="51"/>
      <c r="G685" s="51"/>
      <c r="H685" s="6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51"/>
      <c r="E686" s="51"/>
      <c r="F686" s="51"/>
      <c r="G686" s="51"/>
      <c r="H686" s="6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51"/>
      <c r="E687" s="51"/>
      <c r="F687" s="51"/>
      <c r="G687" s="51"/>
      <c r="H687" s="6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51"/>
      <c r="E688" s="51"/>
      <c r="F688" s="51"/>
      <c r="G688" s="51"/>
      <c r="H688" s="6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51"/>
      <c r="E689" s="51"/>
      <c r="F689" s="51"/>
      <c r="G689" s="51"/>
      <c r="H689" s="6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51"/>
      <c r="E690" s="51"/>
      <c r="F690" s="51"/>
      <c r="G690" s="51"/>
      <c r="H690" s="6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51"/>
      <c r="E691" s="51"/>
      <c r="F691" s="51"/>
      <c r="G691" s="51"/>
      <c r="H691" s="6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51"/>
      <c r="E692" s="51"/>
      <c r="F692" s="51"/>
      <c r="G692" s="51"/>
      <c r="H692" s="6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51"/>
      <c r="E693" s="51"/>
      <c r="F693" s="51"/>
      <c r="G693" s="51"/>
      <c r="H693" s="6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51"/>
      <c r="E694" s="51"/>
      <c r="F694" s="51"/>
      <c r="G694" s="51"/>
      <c r="H694" s="6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51"/>
      <c r="E695" s="51"/>
      <c r="F695" s="51"/>
      <c r="G695" s="51"/>
      <c r="H695" s="6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51"/>
      <c r="E696" s="51"/>
      <c r="F696" s="51"/>
      <c r="G696" s="51"/>
      <c r="H696" s="6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51"/>
      <c r="E697" s="51"/>
      <c r="F697" s="51"/>
      <c r="G697" s="51"/>
      <c r="H697" s="6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51"/>
      <c r="E698" s="51"/>
      <c r="F698" s="51"/>
      <c r="G698" s="51"/>
      <c r="H698" s="6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51"/>
      <c r="E699" s="51"/>
      <c r="F699" s="51"/>
      <c r="G699" s="51"/>
      <c r="H699" s="6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51"/>
      <c r="E700" s="51"/>
      <c r="F700" s="51"/>
      <c r="G700" s="51"/>
      <c r="H700" s="6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51"/>
      <c r="E701" s="51"/>
      <c r="F701" s="51"/>
      <c r="G701" s="51"/>
      <c r="H701" s="6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51"/>
      <c r="E702" s="51"/>
      <c r="F702" s="51"/>
      <c r="G702" s="51"/>
      <c r="H702" s="6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51"/>
      <c r="E703" s="51"/>
      <c r="F703" s="51"/>
      <c r="G703" s="51"/>
      <c r="H703" s="6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51"/>
      <c r="E704" s="51"/>
      <c r="F704" s="51"/>
      <c r="G704" s="51"/>
      <c r="H704" s="6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51"/>
      <c r="E705" s="51"/>
      <c r="F705" s="51"/>
      <c r="G705" s="51"/>
      <c r="H705" s="6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51"/>
      <c r="E706" s="51"/>
      <c r="F706" s="51"/>
      <c r="G706" s="51"/>
      <c r="H706" s="6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51"/>
      <c r="E707" s="51"/>
      <c r="F707" s="51"/>
      <c r="G707" s="51"/>
      <c r="H707" s="6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51"/>
      <c r="E708" s="51"/>
      <c r="F708" s="51"/>
      <c r="G708" s="51"/>
      <c r="H708" s="6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51"/>
      <c r="E709" s="51"/>
      <c r="F709" s="51"/>
      <c r="G709" s="51"/>
      <c r="H709" s="6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51"/>
      <c r="E710" s="51"/>
      <c r="F710" s="51"/>
      <c r="G710" s="51"/>
      <c r="H710" s="6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51"/>
      <c r="E711" s="51"/>
      <c r="F711" s="51"/>
      <c r="G711" s="51"/>
      <c r="H711" s="6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51"/>
      <c r="E712" s="51"/>
      <c r="F712" s="51"/>
      <c r="G712" s="51"/>
      <c r="H712" s="6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51"/>
      <c r="E713" s="51"/>
      <c r="F713" s="51"/>
      <c r="G713" s="51"/>
      <c r="H713" s="6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51"/>
      <c r="E714" s="51"/>
      <c r="F714" s="51"/>
      <c r="G714" s="51"/>
      <c r="H714" s="6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51"/>
      <c r="E715" s="51"/>
      <c r="F715" s="51"/>
      <c r="G715" s="51"/>
      <c r="H715" s="6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51"/>
      <c r="E716" s="51"/>
      <c r="F716" s="51"/>
      <c r="G716" s="51"/>
      <c r="H716" s="6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51"/>
      <c r="E717" s="51"/>
      <c r="F717" s="51"/>
      <c r="G717" s="51"/>
      <c r="H717" s="6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51"/>
      <c r="E718" s="51"/>
      <c r="F718" s="51"/>
      <c r="G718" s="51"/>
      <c r="H718" s="6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51"/>
      <c r="E719" s="51"/>
      <c r="F719" s="51"/>
      <c r="G719" s="51"/>
      <c r="H719" s="6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51"/>
      <c r="E720" s="51"/>
      <c r="F720" s="51"/>
      <c r="G720" s="51"/>
      <c r="H720" s="6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51"/>
      <c r="E721" s="51"/>
      <c r="F721" s="51"/>
      <c r="G721" s="51"/>
      <c r="H721" s="6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51"/>
      <c r="E722" s="51"/>
      <c r="F722" s="51"/>
      <c r="G722" s="51"/>
      <c r="H722" s="6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51"/>
      <c r="E723" s="51"/>
      <c r="F723" s="51"/>
      <c r="G723" s="51"/>
      <c r="H723" s="6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51"/>
      <c r="E724" s="51"/>
      <c r="F724" s="51"/>
      <c r="G724" s="51"/>
      <c r="H724" s="6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51"/>
      <c r="E725" s="51"/>
      <c r="F725" s="51"/>
      <c r="G725" s="51"/>
      <c r="H725" s="6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51"/>
      <c r="E726" s="51"/>
      <c r="F726" s="51"/>
      <c r="G726" s="51"/>
      <c r="H726" s="6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51"/>
      <c r="E727" s="51"/>
      <c r="F727" s="51"/>
      <c r="G727" s="51"/>
      <c r="H727" s="6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51"/>
      <c r="E728" s="51"/>
      <c r="F728" s="51"/>
      <c r="G728" s="51"/>
      <c r="H728" s="6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51"/>
      <c r="E729" s="51"/>
      <c r="F729" s="51"/>
      <c r="G729" s="51"/>
      <c r="H729" s="6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51"/>
      <c r="E730" s="51"/>
      <c r="F730" s="51"/>
      <c r="G730" s="51"/>
      <c r="H730" s="6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51"/>
      <c r="E731" s="51"/>
      <c r="F731" s="51"/>
      <c r="G731" s="51"/>
      <c r="H731" s="6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51"/>
      <c r="E732" s="51"/>
      <c r="F732" s="51"/>
      <c r="G732" s="51"/>
      <c r="H732" s="6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51"/>
      <c r="E733" s="51"/>
      <c r="F733" s="51"/>
      <c r="G733" s="51"/>
      <c r="H733" s="6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51"/>
      <c r="E734" s="51"/>
      <c r="F734" s="51"/>
      <c r="G734" s="51"/>
      <c r="H734" s="6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51"/>
      <c r="E735" s="51"/>
      <c r="F735" s="51"/>
      <c r="G735" s="51"/>
      <c r="H735" s="6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51"/>
      <c r="E736" s="51"/>
      <c r="F736" s="51"/>
      <c r="G736" s="51"/>
      <c r="H736" s="6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51"/>
      <c r="E737" s="51"/>
      <c r="F737" s="51"/>
      <c r="G737" s="51"/>
      <c r="H737" s="6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51"/>
      <c r="E738" s="51"/>
      <c r="F738" s="51"/>
      <c r="G738" s="51"/>
      <c r="H738" s="6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51"/>
      <c r="E739" s="51"/>
      <c r="F739" s="51"/>
      <c r="G739" s="51"/>
      <c r="H739" s="6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51"/>
      <c r="E740" s="51"/>
      <c r="F740" s="51"/>
      <c r="G740" s="51"/>
      <c r="H740" s="6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51"/>
      <c r="E741" s="51"/>
      <c r="F741" s="51"/>
      <c r="G741" s="51"/>
      <c r="H741" s="6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51"/>
      <c r="E742" s="51"/>
      <c r="F742" s="51"/>
      <c r="G742" s="51"/>
      <c r="H742" s="6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51"/>
      <c r="E743" s="51"/>
      <c r="F743" s="51"/>
      <c r="G743" s="51"/>
      <c r="H743" s="6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51"/>
      <c r="E744" s="51"/>
      <c r="F744" s="51"/>
      <c r="G744" s="51"/>
      <c r="H744" s="6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51"/>
      <c r="E745" s="51"/>
      <c r="F745" s="51"/>
      <c r="G745" s="51"/>
      <c r="H745" s="6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51"/>
      <c r="E746" s="51"/>
      <c r="F746" s="51"/>
      <c r="G746" s="51"/>
      <c r="H746" s="6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51"/>
      <c r="E747" s="51"/>
      <c r="F747" s="51"/>
      <c r="G747" s="51"/>
      <c r="H747" s="6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51"/>
      <c r="E748" s="51"/>
      <c r="F748" s="51"/>
      <c r="G748" s="51"/>
      <c r="H748" s="6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51"/>
      <c r="E749" s="51"/>
      <c r="F749" s="51"/>
      <c r="G749" s="51"/>
      <c r="H749" s="6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51"/>
      <c r="E750" s="51"/>
      <c r="F750" s="51"/>
      <c r="G750" s="51"/>
      <c r="H750" s="6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51"/>
      <c r="E751" s="51"/>
      <c r="F751" s="51"/>
      <c r="G751" s="51"/>
      <c r="H751" s="6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51"/>
      <c r="E752" s="51"/>
      <c r="F752" s="51"/>
      <c r="G752" s="51"/>
      <c r="H752" s="6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51"/>
      <c r="E753" s="51"/>
      <c r="F753" s="51"/>
      <c r="G753" s="51"/>
      <c r="H753" s="6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51"/>
      <c r="E754" s="51"/>
      <c r="F754" s="51"/>
      <c r="G754" s="51"/>
      <c r="H754" s="6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51"/>
      <c r="E755" s="51"/>
      <c r="F755" s="51"/>
      <c r="G755" s="51"/>
      <c r="H755" s="6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51"/>
      <c r="E756" s="51"/>
      <c r="F756" s="51"/>
      <c r="G756" s="51"/>
      <c r="H756" s="6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51"/>
      <c r="E757" s="51"/>
      <c r="F757" s="51"/>
      <c r="G757" s="51"/>
      <c r="H757" s="6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51"/>
      <c r="E758" s="51"/>
      <c r="F758" s="51"/>
      <c r="G758" s="51"/>
      <c r="H758" s="6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51"/>
      <c r="E759" s="51"/>
      <c r="F759" s="51"/>
      <c r="G759" s="51"/>
      <c r="H759" s="6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51"/>
      <c r="E760" s="51"/>
      <c r="F760" s="51"/>
      <c r="G760" s="51"/>
      <c r="H760" s="6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51"/>
      <c r="E761" s="51"/>
      <c r="F761" s="51"/>
      <c r="G761" s="51"/>
      <c r="H761" s="6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51"/>
      <c r="E762" s="51"/>
      <c r="F762" s="51"/>
      <c r="G762" s="51"/>
      <c r="H762" s="6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51"/>
      <c r="E763" s="51"/>
      <c r="F763" s="51"/>
      <c r="G763" s="51"/>
      <c r="H763" s="6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51"/>
      <c r="E764" s="51"/>
      <c r="F764" s="51"/>
      <c r="G764" s="51"/>
      <c r="H764" s="6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51"/>
      <c r="E765" s="51"/>
      <c r="F765" s="51"/>
      <c r="G765" s="51"/>
      <c r="H765" s="6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51"/>
      <c r="E766" s="51"/>
      <c r="F766" s="51"/>
      <c r="G766" s="51"/>
      <c r="H766" s="6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51"/>
      <c r="E767" s="51"/>
      <c r="F767" s="51"/>
      <c r="G767" s="51"/>
      <c r="H767" s="6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51"/>
      <c r="E768" s="51"/>
      <c r="F768" s="51"/>
      <c r="G768" s="51"/>
      <c r="H768" s="6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51"/>
      <c r="E769" s="51"/>
      <c r="F769" s="51"/>
      <c r="G769" s="51"/>
      <c r="H769" s="6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51"/>
      <c r="E770" s="51"/>
      <c r="F770" s="51"/>
      <c r="G770" s="51"/>
      <c r="H770" s="6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51"/>
      <c r="E771" s="51"/>
      <c r="F771" s="51"/>
      <c r="G771" s="51"/>
      <c r="H771" s="6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51"/>
      <c r="E772" s="51"/>
      <c r="F772" s="51"/>
      <c r="G772" s="51"/>
      <c r="H772" s="6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51"/>
      <c r="E773" s="51"/>
      <c r="F773" s="51"/>
      <c r="G773" s="51"/>
      <c r="H773" s="6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51"/>
      <c r="E774" s="51"/>
      <c r="F774" s="51"/>
      <c r="G774" s="51"/>
      <c r="H774" s="6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51"/>
      <c r="E775" s="51"/>
      <c r="F775" s="51"/>
      <c r="G775" s="51"/>
      <c r="H775" s="6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51"/>
      <c r="E776" s="51"/>
      <c r="F776" s="51"/>
      <c r="G776" s="51"/>
      <c r="H776" s="6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51"/>
      <c r="E777" s="51"/>
      <c r="F777" s="51"/>
      <c r="G777" s="51"/>
      <c r="H777" s="6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51"/>
      <c r="E778" s="51"/>
      <c r="F778" s="51"/>
      <c r="G778" s="51"/>
      <c r="H778" s="6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51"/>
      <c r="E779" s="51"/>
      <c r="F779" s="51"/>
      <c r="G779" s="51"/>
      <c r="H779" s="6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51"/>
      <c r="E780" s="51"/>
      <c r="F780" s="51"/>
      <c r="G780" s="51"/>
      <c r="H780" s="6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51"/>
      <c r="E781" s="51"/>
      <c r="F781" s="51"/>
      <c r="G781" s="51"/>
      <c r="H781" s="6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51"/>
      <c r="E782" s="51"/>
      <c r="F782" s="51"/>
      <c r="G782" s="51"/>
      <c r="H782" s="6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51"/>
      <c r="E783" s="51"/>
      <c r="F783" s="51"/>
      <c r="G783" s="51"/>
      <c r="H783" s="6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51"/>
      <c r="E784" s="51"/>
      <c r="F784" s="51"/>
      <c r="G784" s="51"/>
      <c r="H784" s="6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51"/>
      <c r="E785" s="51"/>
      <c r="F785" s="51"/>
      <c r="G785" s="51"/>
      <c r="H785" s="6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51"/>
      <c r="E786" s="51"/>
      <c r="F786" s="51"/>
      <c r="G786" s="51"/>
      <c r="H786" s="6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51"/>
      <c r="E787" s="51"/>
      <c r="F787" s="51"/>
      <c r="G787" s="51"/>
      <c r="H787" s="6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51"/>
      <c r="E788" s="51"/>
      <c r="F788" s="51"/>
      <c r="G788" s="51"/>
      <c r="H788" s="6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51"/>
      <c r="E789" s="51"/>
      <c r="F789" s="51"/>
      <c r="G789" s="51"/>
      <c r="H789" s="6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51"/>
      <c r="E790" s="51"/>
      <c r="F790" s="51"/>
      <c r="G790" s="51"/>
      <c r="H790" s="6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51"/>
      <c r="E791" s="51"/>
      <c r="F791" s="51"/>
      <c r="G791" s="51"/>
      <c r="H791" s="6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51"/>
      <c r="E792" s="51"/>
      <c r="F792" s="51"/>
      <c r="G792" s="51"/>
      <c r="H792" s="6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51"/>
      <c r="E793" s="51"/>
      <c r="F793" s="51"/>
      <c r="G793" s="51"/>
      <c r="H793" s="6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51"/>
      <c r="E794" s="51"/>
      <c r="F794" s="51"/>
      <c r="G794" s="51"/>
      <c r="H794" s="6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51"/>
      <c r="E795" s="51"/>
      <c r="F795" s="51"/>
      <c r="G795" s="51"/>
      <c r="H795" s="6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51"/>
      <c r="E796" s="51"/>
      <c r="F796" s="51"/>
      <c r="G796" s="51"/>
      <c r="H796" s="6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51"/>
      <c r="E797" s="51"/>
      <c r="F797" s="51"/>
      <c r="G797" s="51"/>
      <c r="H797" s="6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51"/>
      <c r="E798" s="51"/>
      <c r="F798" s="51"/>
      <c r="G798" s="51"/>
      <c r="H798" s="6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51"/>
      <c r="E799" s="51"/>
      <c r="F799" s="51"/>
      <c r="G799" s="51"/>
      <c r="H799" s="6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51"/>
      <c r="E800" s="51"/>
      <c r="F800" s="51"/>
      <c r="G800" s="51"/>
      <c r="H800" s="6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51"/>
      <c r="E801" s="51"/>
      <c r="F801" s="51"/>
      <c r="G801" s="51"/>
      <c r="H801" s="6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51"/>
      <c r="E802" s="51"/>
      <c r="F802" s="51"/>
      <c r="G802" s="51"/>
      <c r="H802" s="6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51"/>
      <c r="E803" s="51"/>
      <c r="F803" s="51"/>
      <c r="G803" s="51"/>
      <c r="H803" s="6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51"/>
      <c r="E804" s="51"/>
      <c r="F804" s="51"/>
      <c r="G804" s="51"/>
      <c r="H804" s="6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51"/>
      <c r="E805" s="51"/>
      <c r="F805" s="51"/>
      <c r="G805" s="51"/>
      <c r="H805" s="6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51"/>
      <c r="E806" s="51"/>
      <c r="F806" s="51"/>
      <c r="G806" s="51"/>
      <c r="H806" s="6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51"/>
      <c r="E807" s="51"/>
      <c r="F807" s="51"/>
      <c r="G807" s="51"/>
      <c r="H807" s="6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51"/>
      <c r="E808" s="51"/>
      <c r="F808" s="51"/>
      <c r="G808" s="51"/>
      <c r="H808" s="6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51"/>
      <c r="E809" s="51"/>
      <c r="F809" s="51"/>
      <c r="G809" s="51"/>
      <c r="H809" s="6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51"/>
      <c r="E810" s="51"/>
      <c r="F810" s="51"/>
      <c r="G810" s="51"/>
      <c r="H810" s="6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51"/>
      <c r="E811" s="51"/>
      <c r="F811" s="51"/>
      <c r="G811" s="51"/>
      <c r="H811" s="6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51"/>
      <c r="E812" s="51"/>
      <c r="F812" s="51"/>
      <c r="G812" s="51"/>
      <c r="H812" s="6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51"/>
      <c r="E813" s="51"/>
      <c r="F813" s="51"/>
      <c r="G813" s="51"/>
      <c r="H813" s="6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51"/>
      <c r="E814" s="51"/>
      <c r="F814" s="51"/>
      <c r="G814" s="51"/>
      <c r="H814" s="6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51"/>
      <c r="E815" s="51"/>
      <c r="F815" s="51"/>
      <c r="G815" s="51"/>
      <c r="H815" s="6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51"/>
      <c r="E816" s="51"/>
      <c r="F816" s="51"/>
      <c r="G816" s="51"/>
      <c r="H816" s="6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51"/>
      <c r="E817" s="51"/>
      <c r="F817" s="51"/>
      <c r="G817" s="51"/>
      <c r="H817" s="6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51"/>
      <c r="E818" s="51"/>
      <c r="F818" s="51"/>
      <c r="G818" s="51"/>
      <c r="H818" s="6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51"/>
      <c r="E819" s="51"/>
      <c r="F819" s="51"/>
      <c r="G819" s="51"/>
      <c r="H819" s="6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51"/>
      <c r="E820" s="51"/>
      <c r="F820" s="51"/>
      <c r="G820" s="51"/>
      <c r="H820" s="6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51"/>
      <c r="E821" s="51"/>
      <c r="F821" s="51"/>
      <c r="G821" s="51"/>
      <c r="H821" s="6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51"/>
      <c r="E822" s="51"/>
      <c r="F822" s="51"/>
      <c r="G822" s="51"/>
      <c r="H822" s="6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51"/>
      <c r="E823" s="51"/>
      <c r="F823" s="51"/>
      <c r="G823" s="51"/>
      <c r="H823" s="6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51"/>
      <c r="E824" s="51"/>
      <c r="F824" s="51"/>
      <c r="G824" s="51"/>
      <c r="H824" s="6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51"/>
      <c r="E825" s="51"/>
      <c r="F825" s="51"/>
      <c r="G825" s="51"/>
      <c r="H825" s="6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51"/>
      <c r="E826" s="51"/>
      <c r="F826" s="51"/>
      <c r="G826" s="51"/>
      <c r="H826" s="6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51"/>
      <c r="E827" s="51"/>
      <c r="F827" s="51"/>
      <c r="G827" s="51"/>
      <c r="H827" s="6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51"/>
      <c r="E828" s="51"/>
      <c r="F828" s="51"/>
      <c r="G828" s="51"/>
      <c r="H828" s="6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51"/>
      <c r="E829" s="51"/>
      <c r="F829" s="51"/>
      <c r="G829" s="51"/>
      <c r="H829" s="6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51"/>
      <c r="E830" s="51"/>
      <c r="F830" s="51"/>
      <c r="G830" s="51"/>
      <c r="H830" s="6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51"/>
      <c r="E831" s="51"/>
      <c r="F831" s="51"/>
      <c r="G831" s="51"/>
      <c r="H831" s="6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51"/>
      <c r="E832" s="51"/>
      <c r="F832" s="51"/>
      <c r="G832" s="51"/>
      <c r="H832" s="6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51"/>
      <c r="E833" s="51"/>
      <c r="F833" s="51"/>
      <c r="G833" s="51"/>
      <c r="H833" s="6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51"/>
      <c r="E834" s="51"/>
      <c r="F834" s="51"/>
      <c r="G834" s="51"/>
      <c r="H834" s="6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51"/>
      <c r="E835" s="51"/>
      <c r="F835" s="51"/>
      <c r="G835" s="51"/>
      <c r="H835" s="6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51"/>
      <c r="E836" s="51"/>
      <c r="F836" s="51"/>
      <c r="G836" s="51"/>
      <c r="H836" s="6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51"/>
      <c r="E837" s="51"/>
      <c r="F837" s="51"/>
      <c r="G837" s="51"/>
      <c r="H837" s="6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51"/>
      <c r="E838" s="51"/>
      <c r="F838" s="51"/>
      <c r="G838" s="51"/>
      <c r="H838" s="6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51"/>
      <c r="E839" s="51"/>
      <c r="F839" s="51"/>
      <c r="G839" s="51"/>
      <c r="H839" s="6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51"/>
      <c r="E840" s="51"/>
      <c r="F840" s="51"/>
      <c r="G840" s="51"/>
      <c r="H840" s="6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51"/>
      <c r="E841" s="51"/>
      <c r="F841" s="51"/>
      <c r="G841" s="51"/>
      <c r="H841" s="6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51"/>
      <c r="E842" s="51"/>
      <c r="F842" s="51"/>
      <c r="G842" s="51"/>
      <c r="H842" s="6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51"/>
      <c r="E843" s="51"/>
      <c r="F843" s="51"/>
      <c r="G843" s="51"/>
      <c r="H843" s="6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51"/>
      <c r="E844" s="51"/>
      <c r="F844" s="51"/>
      <c r="G844" s="51"/>
      <c r="H844" s="6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51"/>
      <c r="E845" s="51"/>
      <c r="F845" s="51"/>
      <c r="G845" s="51"/>
      <c r="H845" s="6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51"/>
      <c r="E846" s="51"/>
      <c r="F846" s="51"/>
      <c r="G846" s="51"/>
      <c r="H846" s="6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51"/>
      <c r="E847" s="51"/>
      <c r="F847" s="51"/>
      <c r="G847" s="51"/>
      <c r="H847" s="6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51"/>
      <c r="E848" s="51"/>
      <c r="F848" s="51"/>
      <c r="G848" s="51"/>
      <c r="H848" s="6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51"/>
      <c r="E849" s="51"/>
      <c r="F849" s="51"/>
      <c r="G849" s="51"/>
      <c r="H849" s="6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51"/>
      <c r="E850" s="51"/>
      <c r="F850" s="51"/>
      <c r="G850" s="51"/>
      <c r="H850" s="6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51"/>
      <c r="E851" s="51"/>
      <c r="F851" s="51"/>
      <c r="G851" s="51"/>
      <c r="H851" s="6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51"/>
      <c r="E852" s="51"/>
      <c r="F852" s="51"/>
      <c r="G852" s="51"/>
      <c r="H852" s="6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51"/>
      <c r="E853" s="51"/>
      <c r="F853" s="51"/>
      <c r="G853" s="51"/>
      <c r="H853" s="6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51"/>
      <c r="E854" s="51"/>
      <c r="F854" s="51"/>
      <c r="G854" s="51"/>
      <c r="H854" s="6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51"/>
      <c r="E855" s="51"/>
      <c r="F855" s="51"/>
      <c r="G855" s="51"/>
      <c r="H855" s="6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51"/>
      <c r="E856" s="51"/>
      <c r="F856" s="51"/>
      <c r="G856" s="51"/>
      <c r="H856" s="6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51"/>
      <c r="E857" s="51"/>
      <c r="F857" s="51"/>
      <c r="G857" s="51"/>
      <c r="H857" s="6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51"/>
      <c r="E858" s="51"/>
      <c r="F858" s="51"/>
      <c r="G858" s="51"/>
      <c r="H858" s="6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51"/>
      <c r="E859" s="51"/>
      <c r="F859" s="51"/>
      <c r="G859" s="51"/>
      <c r="H859" s="6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51"/>
      <c r="E860" s="51"/>
      <c r="F860" s="51"/>
      <c r="G860" s="51"/>
      <c r="H860" s="6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51"/>
      <c r="E861" s="51"/>
      <c r="F861" s="51"/>
      <c r="G861" s="51"/>
      <c r="H861" s="6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51"/>
      <c r="E862" s="51"/>
      <c r="F862" s="51"/>
      <c r="G862" s="51"/>
      <c r="H862" s="6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51"/>
      <c r="E863" s="51"/>
      <c r="F863" s="51"/>
      <c r="G863" s="51"/>
      <c r="H863" s="6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51"/>
      <c r="E864" s="51"/>
      <c r="F864" s="51"/>
      <c r="G864" s="51"/>
      <c r="H864" s="6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51"/>
      <c r="E865" s="51"/>
      <c r="F865" s="51"/>
      <c r="G865" s="51"/>
      <c r="H865" s="6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51"/>
      <c r="E866" s="51"/>
      <c r="F866" s="51"/>
      <c r="G866" s="51"/>
      <c r="H866" s="6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51"/>
      <c r="E867" s="51"/>
      <c r="F867" s="51"/>
      <c r="G867" s="51"/>
      <c r="H867" s="6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51"/>
      <c r="E868" s="51"/>
      <c r="F868" s="51"/>
      <c r="G868" s="51"/>
      <c r="H868" s="6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51"/>
      <c r="E869" s="51"/>
      <c r="F869" s="51"/>
      <c r="G869" s="51"/>
      <c r="H869" s="6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51"/>
      <c r="E870" s="51"/>
      <c r="F870" s="51"/>
      <c r="G870" s="51"/>
      <c r="H870" s="6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51"/>
      <c r="E871" s="51"/>
      <c r="F871" s="51"/>
      <c r="G871" s="51"/>
      <c r="H871" s="6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51"/>
      <c r="E872" s="51"/>
      <c r="F872" s="51"/>
      <c r="G872" s="51"/>
      <c r="H872" s="6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51"/>
      <c r="E873" s="51"/>
      <c r="F873" s="51"/>
      <c r="G873" s="51"/>
      <c r="H873" s="6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51"/>
      <c r="E874" s="51"/>
      <c r="F874" s="51"/>
      <c r="G874" s="51"/>
      <c r="H874" s="6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51"/>
      <c r="E875" s="51"/>
      <c r="F875" s="51"/>
      <c r="G875" s="51"/>
      <c r="H875" s="6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51"/>
      <c r="E876" s="51"/>
      <c r="F876" s="51"/>
      <c r="G876" s="51"/>
      <c r="H876" s="6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51"/>
      <c r="E877" s="51"/>
      <c r="F877" s="51"/>
      <c r="G877" s="51"/>
      <c r="H877" s="6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51"/>
      <c r="E878" s="51"/>
      <c r="F878" s="51"/>
      <c r="G878" s="51"/>
      <c r="H878" s="6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51"/>
      <c r="E879" s="51"/>
      <c r="F879" s="51"/>
      <c r="G879" s="51"/>
      <c r="H879" s="6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51"/>
      <c r="E880" s="51"/>
      <c r="F880" s="51"/>
      <c r="G880" s="51"/>
      <c r="H880" s="6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51"/>
      <c r="E881" s="51"/>
      <c r="F881" s="51"/>
      <c r="G881" s="51"/>
      <c r="H881" s="6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51"/>
      <c r="E882" s="51"/>
      <c r="F882" s="51"/>
      <c r="G882" s="51"/>
      <c r="H882" s="6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51"/>
      <c r="E883" s="51"/>
      <c r="F883" s="51"/>
      <c r="G883" s="51"/>
      <c r="H883" s="6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51"/>
      <c r="E884" s="51"/>
      <c r="F884" s="51"/>
      <c r="G884" s="51"/>
      <c r="H884" s="6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51"/>
      <c r="E885" s="51"/>
      <c r="F885" s="51"/>
      <c r="G885" s="51"/>
      <c r="H885" s="6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51"/>
      <c r="E886" s="51"/>
      <c r="F886" s="51"/>
      <c r="G886" s="51"/>
      <c r="H886" s="6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51"/>
      <c r="E887" s="51"/>
      <c r="F887" s="51"/>
      <c r="G887" s="51"/>
      <c r="H887" s="6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51"/>
      <c r="E888" s="51"/>
      <c r="F888" s="51"/>
      <c r="G888" s="51"/>
      <c r="H888" s="6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51"/>
      <c r="E889" s="51"/>
      <c r="F889" s="51"/>
      <c r="G889" s="51"/>
      <c r="H889" s="6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51"/>
      <c r="E890" s="51"/>
      <c r="F890" s="51"/>
      <c r="G890" s="51"/>
      <c r="H890" s="6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51"/>
      <c r="E891" s="51"/>
      <c r="F891" s="51"/>
      <c r="G891" s="51"/>
      <c r="H891" s="6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51"/>
      <c r="E892" s="51"/>
      <c r="F892" s="51"/>
      <c r="G892" s="51"/>
      <c r="H892" s="6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51"/>
      <c r="E893" s="51"/>
      <c r="F893" s="51"/>
      <c r="G893" s="51"/>
      <c r="H893" s="6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51"/>
      <c r="E894" s="51"/>
      <c r="F894" s="51"/>
      <c r="G894" s="51"/>
      <c r="H894" s="6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51"/>
      <c r="E895" s="51"/>
      <c r="F895" s="51"/>
      <c r="G895" s="51"/>
      <c r="H895" s="6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51"/>
      <c r="E896" s="51"/>
      <c r="F896" s="51"/>
      <c r="G896" s="51"/>
      <c r="H896" s="6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51"/>
      <c r="E897" s="51"/>
      <c r="F897" s="51"/>
      <c r="G897" s="51"/>
      <c r="H897" s="6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51"/>
      <c r="E898" s="51"/>
      <c r="F898" s="51"/>
      <c r="G898" s="51"/>
      <c r="H898" s="6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51"/>
      <c r="E899" s="51"/>
      <c r="F899" s="51"/>
      <c r="G899" s="51"/>
      <c r="H899" s="6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51"/>
      <c r="E900" s="51"/>
      <c r="F900" s="51"/>
      <c r="G900" s="51"/>
      <c r="H900" s="6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51"/>
      <c r="E901" s="51"/>
      <c r="F901" s="51"/>
      <c r="G901" s="51"/>
      <c r="H901" s="6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51"/>
      <c r="E902" s="51"/>
      <c r="F902" s="51"/>
      <c r="G902" s="51"/>
      <c r="H902" s="6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51"/>
      <c r="E903" s="51"/>
      <c r="F903" s="51"/>
      <c r="G903" s="51"/>
      <c r="H903" s="6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51"/>
      <c r="E904" s="51"/>
      <c r="F904" s="51"/>
      <c r="G904" s="51"/>
      <c r="H904" s="6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51"/>
      <c r="E905" s="51"/>
      <c r="F905" s="51"/>
      <c r="G905" s="51"/>
      <c r="H905" s="6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51"/>
      <c r="E906" s="51"/>
      <c r="F906" s="51"/>
      <c r="G906" s="51"/>
      <c r="H906" s="6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51"/>
      <c r="E907" s="51"/>
      <c r="F907" s="51"/>
      <c r="G907" s="51"/>
      <c r="H907" s="6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51"/>
      <c r="E908" s="51"/>
      <c r="F908" s="51"/>
      <c r="G908" s="51"/>
      <c r="H908" s="6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51"/>
      <c r="E909" s="51"/>
      <c r="F909" s="51"/>
      <c r="G909" s="51"/>
      <c r="H909" s="6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51"/>
      <c r="E910" s="51"/>
      <c r="F910" s="51"/>
      <c r="G910" s="51"/>
      <c r="H910" s="6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51"/>
      <c r="E911" s="51"/>
      <c r="F911" s="51"/>
      <c r="G911" s="51"/>
      <c r="H911" s="6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51"/>
      <c r="E912" s="51"/>
      <c r="F912" s="51"/>
      <c r="G912" s="51"/>
      <c r="H912" s="6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51"/>
      <c r="E913" s="51"/>
      <c r="F913" s="51"/>
      <c r="G913" s="51"/>
      <c r="H913" s="6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51"/>
      <c r="E914" s="51"/>
      <c r="F914" s="51"/>
      <c r="G914" s="51"/>
      <c r="H914" s="6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51"/>
      <c r="E915" s="51"/>
      <c r="F915" s="51"/>
      <c r="G915" s="51"/>
      <c r="H915" s="6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51"/>
      <c r="E916" s="51"/>
      <c r="F916" s="51"/>
      <c r="G916" s="51"/>
      <c r="H916" s="6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51"/>
      <c r="E917" s="51"/>
      <c r="F917" s="51"/>
      <c r="G917" s="51"/>
      <c r="H917" s="6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51"/>
      <c r="E918" s="51"/>
      <c r="F918" s="51"/>
      <c r="G918" s="51"/>
      <c r="H918" s="6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51"/>
      <c r="E919" s="51"/>
      <c r="F919" s="51"/>
      <c r="G919" s="51"/>
      <c r="H919" s="6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51"/>
      <c r="E920" s="51"/>
      <c r="F920" s="51"/>
      <c r="G920" s="51"/>
      <c r="H920" s="6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51"/>
      <c r="E921" s="51"/>
      <c r="F921" s="51"/>
      <c r="G921" s="51"/>
      <c r="H921" s="6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51"/>
      <c r="E922" s="51"/>
      <c r="F922" s="51"/>
      <c r="G922" s="51"/>
      <c r="H922" s="6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51"/>
      <c r="E923" s="51"/>
      <c r="F923" s="51"/>
      <c r="G923" s="51"/>
      <c r="H923" s="6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51"/>
      <c r="E924" s="51"/>
      <c r="F924" s="51"/>
      <c r="G924" s="51"/>
      <c r="H924" s="6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51"/>
      <c r="E925" s="51"/>
      <c r="F925" s="51"/>
      <c r="G925" s="51"/>
      <c r="H925" s="6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51"/>
      <c r="E926" s="51"/>
      <c r="F926" s="51"/>
      <c r="G926" s="51"/>
      <c r="H926" s="6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51"/>
      <c r="E927" s="51"/>
      <c r="F927" s="51"/>
      <c r="G927" s="51"/>
      <c r="H927" s="6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51"/>
      <c r="E928" s="51"/>
      <c r="F928" s="51"/>
      <c r="G928" s="51"/>
      <c r="H928" s="6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51"/>
      <c r="E929" s="51"/>
      <c r="F929" s="51"/>
      <c r="G929" s="51"/>
      <c r="H929" s="6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51"/>
      <c r="E930" s="51"/>
      <c r="F930" s="51"/>
      <c r="G930" s="51"/>
      <c r="H930" s="6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51"/>
      <c r="E931" s="51"/>
      <c r="F931" s="51"/>
      <c r="G931" s="51"/>
      <c r="H931" s="6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51"/>
      <c r="E932" s="51"/>
      <c r="F932" s="51"/>
      <c r="G932" s="51"/>
      <c r="H932" s="6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51"/>
      <c r="E933" s="51"/>
      <c r="F933" s="51"/>
      <c r="G933" s="51"/>
      <c r="H933" s="6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51"/>
      <c r="E934" s="51"/>
      <c r="F934" s="51"/>
      <c r="G934" s="51"/>
      <c r="H934" s="6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51"/>
      <c r="E935" s="51"/>
      <c r="F935" s="51"/>
      <c r="G935" s="51"/>
      <c r="H935" s="6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51"/>
      <c r="E936" s="51"/>
      <c r="F936" s="51"/>
      <c r="G936" s="51"/>
      <c r="H936" s="6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51"/>
      <c r="E937" s="51"/>
      <c r="F937" s="51"/>
      <c r="G937" s="51"/>
      <c r="H937" s="6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51"/>
      <c r="E938" s="51"/>
      <c r="F938" s="51"/>
      <c r="G938" s="51"/>
      <c r="H938" s="6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51"/>
      <c r="E939" s="51"/>
      <c r="F939" s="51"/>
      <c r="G939" s="51"/>
      <c r="H939" s="6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51"/>
      <c r="E940" s="51"/>
      <c r="F940" s="51"/>
      <c r="G940" s="51"/>
      <c r="H940" s="6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51"/>
      <c r="E941" s="51"/>
      <c r="F941" s="51"/>
      <c r="G941" s="51"/>
      <c r="H941" s="6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51"/>
      <c r="E942" s="51"/>
      <c r="F942" s="51"/>
      <c r="G942" s="51"/>
      <c r="H942" s="6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51"/>
      <c r="E943" s="51"/>
      <c r="F943" s="51"/>
      <c r="G943" s="51"/>
      <c r="H943" s="6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51"/>
      <c r="E944" s="51"/>
      <c r="F944" s="51"/>
      <c r="G944" s="51"/>
      <c r="H944" s="6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51"/>
      <c r="E945" s="51"/>
      <c r="F945" s="51"/>
      <c r="G945" s="51"/>
      <c r="H945" s="6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51"/>
      <c r="E946" s="51"/>
      <c r="F946" s="51"/>
      <c r="G946" s="51"/>
      <c r="H946" s="6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51"/>
      <c r="E947" s="51"/>
      <c r="F947" s="51"/>
      <c r="G947" s="51"/>
      <c r="H947" s="6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51"/>
      <c r="E948" s="51"/>
      <c r="F948" s="51"/>
      <c r="G948" s="51"/>
      <c r="H948" s="6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51"/>
      <c r="E949" s="51"/>
      <c r="F949" s="51"/>
      <c r="G949" s="51"/>
      <c r="H949" s="6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51"/>
      <c r="E950" s="51"/>
      <c r="F950" s="51"/>
      <c r="G950" s="51"/>
      <c r="H950" s="6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51"/>
      <c r="E951" s="51"/>
      <c r="F951" s="51"/>
      <c r="G951" s="51"/>
      <c r="H951" s="6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51"/>
      <c r="E952" s="51"/>
      <c r="F952" s="51"/>
      <c r="G952" s="51"/>
      <c r="H952" s="6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51"/>
      <c r="E953" s="51"/>
      <c r="F953" s="51"/>
      <c r="G953" s="51"/>
      <c r="H953" s="6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51"/>
      <c r="E954" s="51"/>
      <c r="F954" s="51"/>
      <c r="G954" s="51"/>
      <c r="H954" s="6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51"/>
      <c r="E955" s="51"/>
      <c r="F955" s="51"/>
      <c r="G955" s="51"/>
      <c r="H955" s="6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51"/>
      <c r="E956" s="51"/>
      <c r="F956" s="51"/>
      <c r="G956" s="51"/>
      <c r="H956" s="6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51"/>
      <c r="E957" s="51"/>
      <c r="F957" s="51"/>
      <c r="G957" s="51"/>
      <c r="H957" s="6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51"/>
      <c r="E958" s="51"/>
      <c r="F958" s="51"/>
      <c r="G958" s="51"/>
      <c r="H958" s="6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51"/>
      <c r="E959" s="51"/>
      <c r="F959" s="51"/>
      <c r="G959" s="51"/>
      <c r="H959" s="6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51"/>
      <c r="E960" s="51"/>
      <c r="F960" s="51"/>
      <c r="G960" s="51"/>
      <c r="H960" s="6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51"/>
      <c r="E961" s="51"/>
      <c r="F961" s="51"/>
      <c r="G961" s="51"/>
      <c r="H961" s="6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51"/>
      <c r="E962" s="51"/>
      <c r="F962" s="51"/>
      <c r="G962" s="51"/>
      <c r="H962" s="6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51"/>
      <c r="E963" s="51"/>
      <c r="F963" s="51"/>
      <c r="G963" s="51"/>
      <c r="H963" s="6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51"/>
      <c r="E964" s="51"/>
      <c r="F964" s="51"/>
      <c r="G964" s="51"/>
      <c r="H964" s="6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51"/>
      <c r="E965" s="51"/>
      <c r="F965" s="51"/>
      <c r="G965" s="51"/>
      <c r="H965" s="6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51"/>
      <c r="E966" s="51"/>
      <c r="F966" s="51"/>
      <c r="G966" s="51"/>
      <c r="H966" s="6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51"/>
      <c r="E967" s="51"/>
      <c r="F967" s="51"/>
      <c r="G967" s="51"/>
      <c r="H967" s="6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51"/>
      <c r="E968" s="51"/>
      <c r="F968" s="51"/>
      <c r="G968" s="51"/>
      <c r="H968" s="6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51"/>
      <c r="E969" s="51"/>
      <c r="F969" s="51"/>
      <c r="G969" s="51"/>
      <c r="H969" s="6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51"/>
      <c r="E970" s="51"/>
      <c r="F970" s="51"/>
      <c r="G970" s="51"/>
      <c r="H970" s="6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51"/>
      <c r="E971" s="51"/>
      <c r="F971" s="51"/>
      <c r="G971" s="51"/>
      <c r="H971" s="6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51"/>
      <c r="E972" s="51"/>
      <c r="F972" s="51"/>
      <c r="G972" s="51"/>
      <c r="H972" s="6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51"/>
      <c r="E973" s="51"/>
      <c r="F973" s="51"/>
      <c r="G973" s="51"/>
      <c r="H973" s="6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51"/>
      <c r="E974" s="51"/>
      <c r="F974" s="51"/>
      <c r="G974" s="51"/>
      <c r="H974" s="6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51"/>
      <c r="E975" s="51"/>
      <c r="F975" s="51"/>
      <c r="G975" s="51"/>
      <c r="H975" s="6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51"/>
      <c r="E976" s="51"/>
      <c r="F976" s="51"/>
      <c r="G976" s="51"/>
      <c r="H976" s="6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51"/>
      <c r="E977" s="51"/>
      <c r="F977" s="51"/>
      <c r="G977" s="51"/>
      <c r="H977" s="6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51"/>
      <c r="E978" s="51"/>
      <c r="F978" s="51"/>
      <c r="G978" s="51"/>
      <c r="H978" s="6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51"/>
      <c r="E979" s="51"/>
      <c r="F979" s="51"/>
      <c r="G979" s="51"/>
      <c r="H979" s="6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51"/>
      <c r="E980" s="51"/>
      <c r="F980" s="51"/>
      <c r="G980" s="51"/>
      <c r="H980" s="6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51"/>
      <c r="E981" s="51"/>
      <c r="F981" s="51"/>
      <c r="G981" s="51"/>
      <c r="H981" s="6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51"/>
      <c r="E982" s="51"/>
      <c r="F982" s="51"/>
      <c r="G982" s="51"/>
      <c r="H982" s="6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51"/>
      <c r="E983" s="51"/>
      <c r="F983" s="51"/>
      <c r="G983" s="51"/>
      <c r="H983" s="6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51"/>
      <c r="E984" s="51"/>
      <c r="F984" s="51"/>
      <c r="G984" s="51"/>
      <c r="H984" s="6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51"/>
      <c r="E985" s="51"/>
      <c r="F985" s="51"/>
      <c r="G985" s="51"/>
      <c r="H985" s="6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51"/>
      <c r="E986" s="51"/>
      <c r="F986" s="51"/>
      <c r="G986" s="51"/>
      <c r="H986" s="6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51"/>
      <c r="E987" s="51"/>
      <c r="F987" s="51"/>
      <c r="G987" s="51"/>
      <c r="H987" s="6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51"/>
      <c r="E988" s="51"/>
      <c r="F988" s="51"/>
      <c r="G988" s="51"/>
      <c r="H988" s="6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51"/>
      <c r="E989" s="51"/>
      <c r="F989" s="51"/>
      <c r="G989" s="51"/>
      <c r="H989" s="6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51"/>
      <c r="E990" s="51"/>
      <c r="F990" s="51"/>
      <c r="G990" s="51"/>
      <c r="H990" s="6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51"/>
      <c r="E991" s="51"/>
      <c r="F991" s="51"/>
      <c r="G991" s="51"/>
      <c r="H991" s="6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51"/>
      <c r="E992" s="51"/>
      <c r="F992" s="51"/>
      <c r="G992" s="51"/>
      <c r="H992" s="6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51"/>
      <c r="E993" s="51"/>
      <c r="F993" s="51"/>
      <c r="G993" s="51"/>
      <c r="H993" s="6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51"/>
      <c r="E994" s="51"/>
      <c r="F994" s="51"/>
      <c r="G994" s="51"/>
      <c r="H994" s="6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51"/>
      <c r="E995" s="51"/>
      <c r="F995" s="51"/>
      <c r="G995" s="51"/>
      <c r="H995" s="6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51"/>
      <c r="E996" s="51"/>
      <c r="F996" s="51"/>
      <c r="G996" s="51"/>
      <c r="H996" s="6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51"/>
      <c r="E997" s="51"/>
      <c r="F997" s="51"/>
      <c r="G997" s="51"/>
      <c r="H997" s="6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51"/>
      <c r="E998" s="51"/>
      <c r="F998" s="51"/>
      <c r="G998" s="51"/>
      <c r="H998" s="6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51"/>
      <c r="E999" s="51"/>
      <c r="F999" s="51"/>
      <c r="G999" s="51"/>
      <c r="H999" s="6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51"/>
      <c r="E1000" s="51"/>
      <c r="F1000" s="51"/>
      <c r="G1000" s="51"/>
      <c r="H1000" s="6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3" width="16.28515625" customWidth="1"/>
    <col min="4" max="4" width="31" customWidth="1"/>
    <col min="5" max="5" width="30.42578125" customWidth="1"/>
    <col min="6" max="6" width="17.140625" customWidth="1"/>
    <col min="7" max="7" width="18.28515625" customWidth="1"/>
    <col min="8" max="8" width="25.85546875" customWidth="1"/>
    <col min="9" max="9" width="17.5703125" customWidth="1"/>
    <col min="10" max="10" width="14.28515625" customWidth="1"/>
    <col min="11" max="16" width="9.140625" customWidth="1"/>
    <col min="17" max="26" width="8.7109375" customWidth="1"/>
  </cols>
  <sheetData>
    <row r="1" spans="1:26" ht="18.75" customHeight="1" x14ac:dyDescent="0.25">
      <c r="A1" s="49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87" t="s">
        <v>25</v>
      </c>
      <c r="C2" s="33" t="s">
        <v>29</v>
      </c>
      <c r="D2" s="33" t="s">
        <v>278</v>
      </c>
      <c r="E2" s="33" t="s">
        <v>279</v>
      </c>
      <c r="F2" s="49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35" t="s">
        <v>41</v>
      </c>
      <c r="C3" s="27">
        <v>625</v>
      </c>
      <c r="D3" s="27">
        <v>625</v>
      </c>
      <c r="E3" s="34">
        <f t="shared" ref="E3:E11" si="0">D3/$D$11</f>
        <v>0.30413625304136255</v>
      </c>
      <c r="F3" s="49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35" t="s">
        <v>329</v>
      </c>
      <c r="C4" s="27">
        <v>615</v>
      </c>
      <c r="D4" s="27">
        <v>1240</v>
      </c>
      <c r="E4" s="34">
        <f t="shared" si="0"/>
        <v>0.6034063260340633</v>
      </c>
      <c r="F4" s="49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35" t="s">
        <v>367</v>
      </c>
      <c r="C5" s="27">
        <v>200</v>
      </c>
      <c r="D5" s="27">
        <v>1440</v>
      </c>
      <c r="E5" s="34">
        <f t="shared" si="0"/>
        <v>0.7007299270072993</v>
      </c>
      <c r="F5" s="49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35" t="s">
        <v>274</v>
      </c>
      <c r="C6" s="27">
        <v>160</v>
      </c>
      <c r="D6" s="27">
        <v>1600</v>
      </c>
      <c r="E6" s="34">
        <f t="shared" si="0"/>
        <v>0.77858880778588813</v>
      </c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35" t="s">
        <v>399</v>
      </c>
      <c r="C7" s="27">
        <v>125</v>
      </c>
      <c r="D7" s="27">
        <v>1725</v>
      </c>
      <c r="E7" s="34">
        <f t="shared" si="0"/>
        <v>0.83941605839416056</v>
      </c>
      <c r="F7" s="49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35" t="s">
        <v>37</v>
      </c>
      <c r="C8" s="27">
        <v>115</v>
      </c>
      <c r="D8" s="27">
        <v>1840</v>
      </c>
      <c r="E8" s="34">
        <f t="shared" si="0"/>
        <v>0.89537712895377131</v>
      </c>
      <c r="F8" s="49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35" t="s">
        <v>351</v>
      </c>
      <c r="C9" s="27">
        <v>90</v>
      </c>
      <c r="D9" s="27">
        <v>1930</v>
      </c>
      <c r="E9" s="34">
        <f t="shared" si="0"/>
        <v>0.93917274939172746</v>
      </c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35" t="s">
        <v>220</v>
      </c>
      <c r="C10" s="27">
        <v>80</v>
      </c>
      <c r="D10" s="27">
        <v>2010</v>
      </c>
      <c r="E10" s="34">
        <f t="shared" si="0"/>
        <v>0.97810218978102192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>
        <v>9</v>
      </c>
      <c r="B11" s="35" t="s">
        <v>333</v>
      </c>
      <c r="C11" s="27">
        <v>45</v>
      </c>
      <c r="D11" s="27">
        <v>2055</v>
      </c>
      <c r="E11" s="34">
        <f t="shared" si="0"/>
        <v>1</v>
      </c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88"/>
      <c r="B12" s="89"/>
      <c r="C12" s="90"/>
      <c r="D12" s="91"/>
      <c r="E12" s="9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72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32" t="s">
        <v>281</v>
      </c>
      <c r="B14" s="33" t="s">
        <v>400</v>
      </c>
      <c r="C14" s="33" t="s">
        <v>29</v>
      </c>
      <c r="D14" s="33" t="s">
        <v>278</v>
      </c>
      <c r="E14" s="33" t="s">
        <v>279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27">
        <v>1</v>
      </c>
      <c r="B15" s="35" t="s">
        <v>382</v>
      </c>
      <c r="C15" s="27">
        <v>160</v>
      </c>
      <c r="D15" s="27">
        <v>160</v>
      </c>
      <c r="E15" s="34">
        <f t="shared" ref="E15:E21" si="1">D15/$D$21</f>
        <v>0.25600000000000001</v>
      </c>
      <c r="F15" s="49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27">
        <v>2</v>
      </c>
      <c r="B16" s="35" t="s">
        <v>365</v>
      </c>
      <c r="C16" s="27">
        <v>140</v>
      </c>
      <c r="D16" s="27">
        <f t="shared" ref="D16:D21" si="2">D15+C16</f>
        <v>300</v>
      </c>
      <c r="E16" s="34">
        <f t="shared" si="1"/>
        <v>0.48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3</v>
      </c>
      <c r="B17" s="35" t="s">
        <v>325</v>
      </c>
      <c r="C17" s="27">
        <v>120</v>
      </c>
      <c r="D17" s="27">
        <f t="shared" si="2"/>
        <v>420</v>
      </c>
      <c r="E17" s="34">
        <f t="shared" si="1"/>
        <v>0.67200000000000004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9">
        <v>4</v>
      </c>
      <c r="B18" s="28" t="s">
        <v>394</v>
      </c>
      <c r="C18" s="29">
        <v>85</v>
      </c>
      <c r="D18" s="76">
        <f t="shared" si="2"/>
        <v>505</v>
      </c>
      <c r="E18" s="92">
        <f t="shared" si="1"/>
        <v>0.80800000000000005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9">
        <v>5</v>
      </c>
      <c r="B19" s="28" t="s">
        <v>355</v>
      </c>
      <c r="C19" s="29">
        <v>40</v>
      </c>
      <c r="D19" s="76">
        <f t="shared" si="2"/>
        <v>545</v>
      </c>
      <c r="E19" s="92">
        <f t="shared" si="1"/>
        <v>0.872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9">
        <v>6</v>
      </c>
      <c r="B20" s="28" t="s">
        <v>370</v>
      </c>
      <c r="C20" s="29">
        <v>40</v>
      </c>
      <c r="D20" s="76">
        <f t="shared" si="2"/>
        <v>585</v>
      </c>
      <c r="E20" s="92">
        <f t="shared" si="1"/>
        <v>0.93600000000000005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9">
        <v>7</v>
      </c>
      <c r="B21" s="28" t="s">
        <v>397</v>
      </c>
      <c r="C21" s="29">
        <v>40</v>
      </c>
      <c r="D21" s="76">
        <f t="shared" si="2"/>
        <v>625</v>
      </c>
      <c r="E21" s="92">
        <f t="shared" si="1"/>
        <v>1</v>
      </c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93"/>
      <c r="B22" s="89"/>
      <c r="C22" s="90"/>
      <c r="D22" s="91"/>
      <c r="E22" s="9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48"/>
      <c r="B23" s="70"/>
      <c r="C23" s="51"/>
      <c r="D23" s="61"/>
      <c r="E23" s="61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48"/>
      <c r="B24" s="70"/>
      <c r="C24" s="51"/>
      <c r="D24" s="61"/>
      <c r="E24" s="61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94"/>
      <c r="B25" s="70"/>
      <c r="C25" s="51"/>
      <c r="D25" s="61"/>
      <c r="E25" s="61"/>
      <c r="F25" s="72"/>
      <c r="G25" s="67"/>
      <c r="H25" s="67"/>
      <c r="I25" s="67"/>
      <c r="J25" s="67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x14ac:dyDescent="0.25">
      <c r="A26" s="167" t="s">
        <v>148</v>
      </c>
      <c r="B26" s="163" t="s">
        <v>158</v>
      </c>
      <c r="C26" s="163" t="s">
        <v>159</v>
      </c>
      <c r="D26" s="161" t="s">
        <v>160</v>
      </c>
      <c r="E26" s="161" t="s">
        <v>161</v>
      </c>
      <c r="F26" s="161" t="s">
        <v>162</v>
      </c>
      <c r="G26" s="161" t="s">
        <v>163</v>
      </c>
      <c r="H26" s="161" t="s">
        <v>164</v>
      </c>
      <c r="I26" s="161" t="s">
        <v>162</v>
      </c>
      <c r="J26" s="161" t="s">
        <v>163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51" x14ac:dyDescent="0.25">
      <c r="A28" s="76">
        <v>1</v>
      </c>
      <c r="B28" s="26" t="s">
        <v>382</v>
      </c>
      <c r="C28" s="29" t="s">
        <v>292</v>
      </c>
      <c r="D28" s="28" t="s">
        <v>401</v>
      </c>
      <c r="E28" s="28" t="s">
        <v>402</v>
      </c>
      <c r="F28" s="28" t="s">
        <v>403</v>
      </c>
      <c r="G28" s="28" t="s">
        <v>287</v>
      </c>
      <c r="H28" s="28" t="s">
        <v>404</v>
      </c>
      <c r="I28" s="28" t="s">
        <v>286</v>
      </c>
      <c r="J28" s="28" t="s">
        <v>287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38.25" x14ac:dyDescent="0.25">
      <c r="A29" s="76">
        <v>2</v>
      </c>
      <c r="B29" s="28" t="s">
        <v>365</v>
      </c>
      <c r="C29" s="29" t="s">
        <v>292</v>
      </c>
      <c r="D29" s="28" t="s">
        <v>405</v>
      </c>
      <c r="E29" s="28" t="s">
        <v>406</v>
      </c>
      <c r="F29" s="28" t="s">
        <v>403</v>
      </c>
      <c r="G29" s="28" t="s">
        <v>287</v>
      </c>
      <c r="H29" s="28" t="s">
        <v>404</v>
      </c>
      <c r="I29" s="28" t="s">
        <v>403</v>
      </c>
      <c r="J29" s="28" t="s">
        <v>287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37.5" customHeight="1" x14ac:dyDescent="0.25">
      <c r="A30" s="76">
        <v>3</v>
      </c>
      <c r="B30" s="28" t="s">
        <v>325</v>
      </c>
      <c r="C30" s="29" t="s">
        <v>292</v>
      </c>
      <c r="D30" s="28" t="s">
        <v>407</v>
      </c>
      <c r="E30" s="28" t="s">
        <v>408</v>
      </c>
      <c r="F30" s="28" t="s">
        <v>403</v>
      </c>
      <c r="G30" s="28" t="s">
        <v>287</v>
      </c>
      <c r="H30" s="28" t="s">
        <v>409</v>
      </c>
      <c r="I30" s="28" t="s">
        <v>403</v>
      </c>
      <c r="J30" s="28" t="s">
        <v>287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5">
      <c r="A31" s="51"/>
      <c r="B31" s="70"/>
      <c r="C31" s="51"/>
      <c r="D31" s="61"/>
      <c r="E31" s="6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5">
      <c r="A32" s="51"/>
      <c r="B32" s="70"/>
      <c r="C32" s="51"/>
      <c r="D32" s="61"/>
      <c r="E32" s="6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5">
      <c r="A33" s="80" t="s">
        <v>281</v>
      </c>
      <c r="B33" s="80" t="s">
        <v>410</v>
      </c>
      <c r="C33" s="80" t="s">
        <v>29</v>
      </c>
      <c r="D33" s="80" t="s">
        <v>278</v>
      </c>
      <c r="E33" s="80" t="s">
        <v>279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29">
        <v>1</v>
      </c>
      <c r="B34" s="28" t="s">
        <v>361</v>
      </c>
      <c r="C34" s="29">
        <v>320</v>
      </c>
      <c r="D34" s="76">
        <f>C34</f>
        <v>320</v>
      </c>
      <c r="E34" s="92">
        <f t="shared" ref="E34:E38" si="3">D34/$D$38</f>
        <v>0.52032520325203258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29">
        <v>2</v>
      </c>
      <c r="B35" s="28" t="s">
        <v>328</v>
      </c>
      <c r="C35" s="29">
        <v>120</v>
      </c>
      <c r="D35" s="76">
        <f t="shared" ref="D35:D38" si="4">D34+C35</f>
        <v>440</v>
      </c>
      <c r="E35" s="92">
        <f t="shared" si="3"/>
        <v>0.71544715447154472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29">
        <v>3</v>
      </c>
      <c r="B36" s="28" t="s">
        <v>346</v>
      </c>
      <c r="C36" s="29">
        <v>105</v>
      </c>
      <c r="D36" s="76">
        <f t="shared" si="4"/>
        <v>545</v>
      </c>
      <c r="E36" s="92">
        <f t="shared" si="3"/>
        <v>0.88617886178861793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29">
        <v>4</v>
      </c>
      <c r="B37" s="28" t="s">
        <v>372</v>
      </c>
      <c r="C37" s="29">
        <v>40</v>
      </c>
      <c r="D37" s="76">
        <f t="shared" si="4"/>
        <v>585</v>
      </c>
      <c r="E37" s="92">
        <f t="shared" si="3"/>
        <v>0.95121951219512191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9">
        <v>5</v>
      </c>
      <c r="B38" s="28" t="s">
        <v>359</v>
      </c>
      <c r="C38" s="29">
        <v>30</v>
      </c>
      <c r="D38" s="76">
        <f t="shared" si="4"/>
        <v>615</v>
      </c>
      <c r="E38" s="92">
        <f t="shared" si="3"/>
        <v>1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51"/>
      <c r="B39" s="70"/>
      <c r="C39" s="51"/>
      <c r="D39" s="61"/>
      <c r="E39" s="6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51"/>
      <c r="B40" s="70"/>
      <c r="C40" s="51"/>
      <c r="D40" s="61"/>
      <c r="E40" s="6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51"/>
      <c r="B41" s="70"/>
      <c r="C41" s="51"/>
      <c r="D41" s="61"/>
      <c r="E41" s="6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51"/>
      <c r="B42" s="70"/>
      <c r="C42" s="51"/>
      <c r="D42" s="61"/>
      <c r="E42" s="6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51"/>
      <c r="B43" s="70"/>
      <c r="C43" s="51"/>
      <c r="D43" s="61"/>
      <c r="E43" s="6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51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51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51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167" t="s">
        <v>148</v>
      </c>
      <c r="B47" s="163" t="s">
        <v>158</v>
      </c>
      <c r="C47" s="163" t="s">
        <v>159</v>
      </c>
      <c r="D47" s="161" t="s">
        <v>160</v>
      </c>
      <c r="E47" s="161" t="s">
        <v>161</v>
      </c>
      <c r="F47" s="161" t="s">
        <v>162</v>
      </c>
      <c r="G47" s="161" t="s">
        <v>163</v>
      </c>
      <c r="H47" s="161" t="s">
        <v>164</v>
      </c>
      <c r="I47" s="161" t="s">
        <v>162</v>
      </c>
      <c r="J47" s="161" t="s">
        <v>163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6">
        <v>1</v>
      </c>
      <c r="B49" s="28" t="s">
        <v>361</v>
      </c>
      <c r="C49" s="29" t="s">
        <v>283</v>
      </c>
      <c r="D49" s="28" t="s">
        <v>411</v>
      </c>
      <c r="E49" s="28" t="s">
        <v>412</v>
      </c>
      <c r="F49" s="28" t="s">
        <v>403</v>
      </c>
      <c r="G49" s="28" t="s">
        <v>287</v>
      </c>
      <c r="H49" s="28" t="s">
        <v>413</v>
      </c>
      <c r="I49" s="28" t="s">
        <v>403</v>
      </c>
      <c r="J49" s="28" t="s">
        <v>287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29.25" customHeight="1" x14ac:dyDescent="0.25">
      <c r="A50" s="76">
        <v>2</v>
      </c>
      <c r="B50" s="28" t="s">
        <v>328</v>
      </c>
      <c r="C50" s="29" t="s">
        <v>292</v>
      </c>
      <c r="D50" s="28" t="s">
        <v>414</v>
      </c>
      <c r="E50" s="28" t="s">
        <v>415</v>
      </c>
      <c r="F50" s="28" t="s">
        <v>403</v>
      </c>
      <c r="G50" s="28" t="s">
        <v>287</v>
      </c>
      <c r="H50" s="28" t="s">
        <v>416</v>
      </c>
      <c r="I50" s="28" t="s">
        <v>403</v>
      </c>
      <c r="J50" s="28" t="s">
        <v>287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76">
        <v>3</v>
      </c>
      <c r="B51" s="28" t="s">
        <v>346</v>
      </c>
      <c r="C51" s="29" t="s">
        <v>292</v>
      </c>
      <c r="D51" s="28" t="s">
        <v>417</v>
      </c>
      <c r="E51" s="28" t="s">
        <v>418</v>
      </c>
      <c r="F51" s="28" t="s">
        <v>403</v>
      </c>
      <c r="G51" s="28" t="s">
        <v>287</v>
      </c>
      <c r="H51" s="28" t="s">
        <v>419</v>
      </c>
      <c r="I51" s="28" t="s">
        <v>403</v>
      </c>
      <c r="J51" s="28" t="s">
        <v>287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51"/>
      <c r="B52" s="70"/>
      <c r="C52" s="51"/>
      <c r="D52" s="61"/>
      <c r="E52" s="6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51"/>
      <c r="B53" s="70"/>
      <c r="C53" s="51"/>
      <c r="D53" s="61"/>
      <c r="E53" s="6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51"/>
      <c r="B54" s="70"/>
      <c r="C54" s="51"/>
      <c r="D54" s="61"/>
      <c r="E54" s="6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" customHeight="1" x14ac:dyDescent="0.25">
      <c r="A55" s="80" t="s">
        <v>281</v>
      </c>
      <c r="B55" s="80" t="s">
        <v>312</v>
      </c>
      <c r="C55" s="80" t="s">
        <v>29</v>
      </c>
      <c r="D55" s="80" t="s">
        <v>278</v>
      </c>
      <c r="E55" s="80" t="s">
        <v>279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" customHeight="1" x14ac:dyDescent="0.25">
      <c r="A56" s="29">
        <v>1</v>
      </c>
      <c r="B56" s="28" t="s">
        <v>366</v>
      </c>
      <c r="C56" s="29">
        <v>80</v>
      </c>
      <c r="D56" s="76">
        <f>C56</f>
        <v>80</v>
      </c>
      <c r="E56" s="92">
        <f t="shared" ref="E56:E58" si="5">D56/$D$58</f>
        <v>0.4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29">
        <v>2</v>
      </c>
      <c r="B57" s="28" t="s">
        <v>383</v>
      </c>
      <c r="C57" s="29">
        <v>60</v>
      </c>
      <c r="D57" s="76">
        <f t="shared" ref="D57:D58" si="6">D56+C57</f>
        <v>140</v>
      </c>
      <c r="E57" s="92">
        <f t="shared" si="5"/>
        <v>0.7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29">
        <v>3</v>
      </c>
      <c r="B58" s="28" t="s">
        <v>389</v>
      </c>
      <c r="C58" s="29">
        <v>60</v>
      </c>
      <c r="D58" s="76">
        <f t="shared" si="6"/>
        <v>200</v>
      </c>
      <c r="E58" s="92">
        <f t="shared" si="5"/>
        <v>1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29"/>
      <c r="B59" s="70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5">
      <c r="A60" s="51"/>
      <c r="B60" s="70"/>
      <c r="C60" s="51"/>
      <c r="D60" s="61"/>
      <c r="E60" s="6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5">
      <c r="A61" s="51"/>
      <c r="B61" s="70"/>
      <c r="C61" s="51"/>
      <c r="D61" s="61"/>
      <c r="E61" s="6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51"/>
      <c r="B62" s="70"/>
      <c r="C62" s="51"/>
      <c r="D62" s="61"/>
      <c r="E62" s="6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51"/>
      <c r="B63" s="70"/>
      <c r="C63" s="51"/>
      <c r="D63" s="61"/>
      <c r="E63" s="6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51"/>
      <c r="B64" s="70"/>
      <c r="C64" s="51"/>
      <c r="D64" s="61"/>
      <c r="E64" s="6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51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51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51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167" t="s">
        <v>148</v>
      </c>
      <c r="B68" s="163" t="s">
        <v>158</v>
      </c>
      <c r="C68" s="163" t="s">
        <v>159</v>
      </c>
      <c r="D68" s="161" t="s">
        <v>160</v>
      </c>
      <c r="E68" s="161" t="s">
        <v>161</v>
      </c>
      <c r="F68" s="161" t="s">
        <v>162</v>
      </c>
      <c r="G68" s="161" t="s">
        <v>163</v>
      </c>
      <c r="H68" s="161" t="s">
        <v>164</v>
      </c>
      <c r="I68" s="161" t="s">
        <v>162</v>
      </c>
      <c r="J68" s="161" t="s">
        <v>163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6">
        <v>1</v>
      </c>
      <c r="B70" s="28" t="s">
        <v>366</v>
      </c>
      <c r="C70" s="29" t="s">
        <v>292</v>
      </c>
      <c r="D70" s="28" t="s">
        <v>420</v>
      </c>
      <c r="E70" s="28" t="s">
        <v>421</v>
      </c>
      <c r="F70" s="28" t="s">
        <v>403</v>
      </c>
      <c r="G70" s="28" t="s">
        <v>287</v>
      </c>
      <c r="H70" s="28" t="s">
        <v>422</v>
      </c>
      <c r="I70" s="28" t="s">
        <v>403</v>
      </c>
      <c r="J70" s="28" t="s">
        <v>287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6">
        <v>2</v>
      </c>
      <c r="B71" s="28" t="s">
        <v>383</v>
      </c>
      <c r="C71" s="29" t="s">
        <v>283</v>
      </c>
      <c r="D71" s="28" t="s">
        <v>423</v>
      </c>
      <c r="E71" s="28" t="s">
        <v>424</v>
      </c>
      <c r="F71" s="28" t="s">
        <v>403</v>
      </c>
      <c r="G71" s="28" t="s">
        <v>287</v>
      </c>
      <c r="H71" s="28" t="s">
        <v>425</v>
      </c>
      <c r="I71" s="28" t="s">
        <v>403</v>
      </c>
      <c r="J71" s="28" t="s">
        <v>287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20.25" customHeight="1" x14ac:dyDescent="0.25">
      <c r="A72" s="76">
        <v>3</v>
      </c>
      <c r="B72" s="28" t="s">
        <v>389</v>
      </c>
      <c r="C72" s="29" t="s">
        <v>292</v>
      </c>
      <c r="D72" s="28" t="s">
        <v>426</v>
      </c>
      <c r="E72" s="28" t="s">
        <v>427</v>
      </c>
      <c r="F72" s="28" t="s">
        <v>403</v>
      </c>
      <c r="G72" s="28" t="s">
        <v>287</v>
      </c>
      <c r="H72" s="28" t="s">
        <v>428</v>
      </c>
      <c r="I72" s="28" t="s">
        <v>403</v>
      </c>
      <c r="J72" s="28" t="s">
        <v>287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51"/>
      <c r="B73" s="70"/>
      <c r="C73" s="51"/>
      <c r="D73" s="61"/>
      <c r="E73" s="6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51"/>
      <c r="B74" s="70"/>
      <c r="C74" s="51"/>
      <c r="D74" s="61"/>
      <c r="E74" s="6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51"/>
      <c r="B75" s="70"/>
      <c r="C75" s="51"/>
      <c r="D75" s="61"/>
      <c r="E75" s="6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" customHeight="1" x14ac:dyDescent="0.25">
      <c r="A76" s="80" t="s">
        <v>281</v>
      </c>
      <c r="B76" s="80" t="s">
        <v>429</v>
      </c>
      <c r="C76" s="80" t="s">
        <v>29</v>
      </c>
      <c r="D76" s="80" t="s">
        <v>278</v>
      </c>
      <c r="E76" s="80" t="s">
        <v>279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" customHeight="1" x14ac:dyDescent="0.25">
      <c r="A77" s="29">
        <v>1</v>
      </c>
      <c r="B77" s="28" t="s">
        <v>341</v>
      </c>
      <c r="C77" s="29">
        <v>140</v>
      </c>
      <c r="D77" s="76">
        <f>C77</f>
        <v>140</v>
      </c>
      <c r="E77" s="92">
        <f t="shared" ref="E77:E78" si="7">D77/$D$78</f>
        <v>0.875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29">
        <v>2</v>
      </c>
      <c r="B78" s="28" t="s">
        <v>375</v>
      </c>
      <c r="C78" s="29">
        <v>20</v>
      </c>
      <c r="D78" s="76">
        <f>D77+C78</f>
        <v>160</v>
      </c>
      <c r="E78" s="92">
        <f t="shared" si="7"/>
        <v>1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70"/>
      <c r="C79" s="51"/>
      <c r="D79" s="61"/>
      <c r="E79" s="6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51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167" t="s">
        <v>148</v>
      </c>
      <c r="B81" s="163" t="s">
        <v>158</v>
      </c>
      <c r="C81" s="163" t="s">
        <v>159</v>
      </c>
      <c r="D81" s="161" t="s">
        <v>160</v>
      </c>
      <c r="E81" s="161" t="s">
        <v>161</v>
      </c>
      <c r="F81" s="161" t="s">
        <v>162</v>
      </c>
      <c r="G81" s="161" t="s">
        <v>163</v>
      </c>
      <c r="H81" s="161" t="s">
        <v>164</v>
      </c>
      <c r="I81" s="161" t="s">
        <v>162</v>
      </c>
      <c r="J81" s="161" t="s">
        <v>163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6">
        <v>1</v>
      </c>
      <c r="B83" s="28" t="s">
        <v>341</v>
      </c>
      <c r="C83" s="29" t="s">
        <v>283</v>
      </c>
      <c r="D83" s="28" t="s">
        <v>430</v>
      </c>
      <c r="E83" s="28" t="s">
        <v>431</v>
      </c>
      <c r="F83" s="28" t="s">
        <v>403</v>
      </c>
      <c r="G83" s="28" t="s">
        <v>287</v>
      </c>
      <c r="H83" s="28" t="s">
        <v>432</v>
      </c>
      <c r="I83" s="28" t="s">
        <v>403</v>
      </c>
      <c r="J83" s="28" t="s">
        <v>287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6">
        <v>2</v>
      </c>
      <c r="B84" s="28" t="s">
        <v>375</v>
      </c>
      <c r="C84" s="29" t="s">
        <v>283</v>
      </c>
      <c r="D84" s="28" t="s">
        <v>433</v>
      </c>
      <c r="E84" s="28" t="s">
        <v>434</v>
      </c>
      <c r="F84" s="28" t="s">
        <v>403</v>
      </c>
      <c r="G84" s="28" t="s">
        <v>287</v>
      </c>
      <c r="H84" s="28" t="s">
        <v>435</v>
      </c>
      <c r="I84" s="28" t="s">
        <v>436</v>
      </c>
      <c r="J84" s="28" t="s">
        <v>437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51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51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51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51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51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51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51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51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51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51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51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51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51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51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51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51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51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51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51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51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51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51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51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51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51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51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51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51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51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51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51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51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51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51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51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51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51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51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51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51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51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51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51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51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51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51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51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51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51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51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51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51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51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51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51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51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51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51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51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51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51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51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51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51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51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51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51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51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51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51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51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51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51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51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51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51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51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51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51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51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51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51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51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51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51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51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51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51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51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51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51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51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51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51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51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51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51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51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51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51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51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51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51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51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51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51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51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51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51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51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51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51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51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51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51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51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51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51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51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51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51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51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51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51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51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51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51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51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51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51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51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51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51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51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51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51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51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51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51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51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51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51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51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51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51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51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51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51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51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51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51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51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51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51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51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51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51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51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51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51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51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51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51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51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51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51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51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51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51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51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51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51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51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51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51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51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51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51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51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51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51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51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51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51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51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51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51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51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51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51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51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51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51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51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51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51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51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51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51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51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51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51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51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51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51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51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51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51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51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51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51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51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51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51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51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51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51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51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51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51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51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51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51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51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51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51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51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51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51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51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51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51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51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51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51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51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51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51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51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51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51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51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51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51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51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51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51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51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51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51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51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51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51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51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51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51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51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51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51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51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51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51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51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51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51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51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51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51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51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51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51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51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51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51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51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51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51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51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51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51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51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51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51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51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51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51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51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51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51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51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51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51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51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51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51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51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51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51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51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51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51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51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51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51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51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51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51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51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51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51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51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51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51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51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51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51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51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51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51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51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51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51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51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51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51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51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51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51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51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51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51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51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51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51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51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51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51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51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51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51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51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51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51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51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51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51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51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51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51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51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51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51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51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51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51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51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51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51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51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51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51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51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51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51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51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51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51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51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51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51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51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51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51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51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51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51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51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51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51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51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51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51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51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51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51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51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51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51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51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51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51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51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51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51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51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51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51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51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51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51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51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51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51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51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51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51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51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51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51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51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51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51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51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51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51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51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51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51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51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51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51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51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51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51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51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51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51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51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51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51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51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51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51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51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51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51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51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51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51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51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51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51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51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51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51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51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51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51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51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51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51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51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51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51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51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51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51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51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51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51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51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51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51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51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51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51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51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51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51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51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51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51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51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51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51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51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51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51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51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51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51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51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51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51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51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51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51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51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51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51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51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51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51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51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51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51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51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51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51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51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51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51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51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51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51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51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51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51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51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51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51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51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51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51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51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51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51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51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51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51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51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51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51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51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51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51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51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51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51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51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51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51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51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51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51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51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51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51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51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51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51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51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51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51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51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51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51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51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51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51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51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51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51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51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51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51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51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51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51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51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51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51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51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51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51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51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51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51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51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51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51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51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51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51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51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51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51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51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51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51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51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51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51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51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51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51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51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51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51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51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51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51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51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51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51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51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51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51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51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51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51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51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51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51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51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51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51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51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51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51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51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51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51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51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51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51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51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51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51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51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51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51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51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51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51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51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51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51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51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51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51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51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51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51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51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51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51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51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51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51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51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51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51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51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51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51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51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51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51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51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51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51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51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51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51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51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51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51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51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51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51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51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51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51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51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51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51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51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51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51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51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51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51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51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51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51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51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51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51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51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51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51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51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51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51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51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51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51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51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51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51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51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51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51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51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51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51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51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51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51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51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51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51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51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51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51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51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51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51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51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51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51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51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51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51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51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51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51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51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51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51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51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51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51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51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51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51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51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51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51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51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51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51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51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51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51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51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51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51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51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51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51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51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51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51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51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51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51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51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51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51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51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51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51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51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51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51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51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51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51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51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51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51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51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51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51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51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51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51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51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51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51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51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51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51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51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51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51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51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51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51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51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51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51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51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51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51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51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51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51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51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51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51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51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51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51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51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51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51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51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51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51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51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51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51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51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51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51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51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51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51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51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51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51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51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51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51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51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51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51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51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51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51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51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51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51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51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51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51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51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51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51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51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51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51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51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51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51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51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51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51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51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51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51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51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51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51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51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51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51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51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51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51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51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51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51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51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51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51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51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51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51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51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51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51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51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51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51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51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51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51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51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51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51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51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51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51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51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51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51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51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51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51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51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51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51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51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51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51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51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51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51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51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51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51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51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51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51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51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51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51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51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51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51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51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51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51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51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51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51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51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51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51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51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51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51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51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51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51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51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</sheetData>
  <mergeCells count="40">
    <mergeCell ref="H81:H82"/>
    <mergeCell ref="I81:I82"/>
    <mergeCell ref="J81:J82"/>
    <mergeCell ref="A81:A82"/>
    <mergeCell ref="B81:B82"/>
    <mergeCell ref="C81:C82"/>
    <mergeCell ref="D81:D82"/>
    <mergeCell ref="E81:E82"/>
    <mergeCell ref="F81:F82"/>
    <mergeCell ref="G81:G82"/>
    <mergeCell ref="H68:H69"/>
    <mergeCell ref="I68:I69"/>
    <mergeCell ref="J68:J69"/>
    <mergeCell ref="A68:A69"/>
    <mergeCell ref="B68:B69"/>
    <mergeCell ref="C68:C69"/>
    <mergeCell ref="D68:D69"/>
    <mergeCell ref="E68:E69"/>
    <mergeCell ref="F68:F69"/>
    <mergeCell ref="G68:G69"/>
    <mergeCell ref="H47:H48"/>
    <mergeCell ref="I47:I48"/>
    <mergeCell ref="J47:J48"/>
    <mergeCell ref="A47:A48"/>
    <mergeCell ref="B47:B48"/>
    <mergeCell ref="C47:C48"/>
    <mergeCell ref="D47:D48"/>
    <mergeCell ref="E47:E48"/>
    <mergeCell ref="F47:F48"/>
    <mergeCell ref="G47:G48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140625" customWidth="1"/>
    <col min="2" max="5" width="12.5703125" customWidth="1"/>
    <col min="6" max="6" width="6" customWidth="1"/>
    <col min="7" max="7" width="6.5703125" customWidth="1"/>
    <col min="8" max="8" width="12.7109375" customWidth="1"/>
    <col min="9" max="9" width="20" customWidth="1"/>
    <col min="10" max="11" width="12.5703125" customWidth="1"/>
    <col min="12" max="12" width="15.5703125" customWidth="1"/>
    <col min="13" max="26" width="12.5703125" customWidth="1"/>
  </cols>
  <sheetData>
    <row r="1" spans="1:26" ht="15.75" customHeight="1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6"/>
      <c r="Z1" s="96"/>
    </row>
    <row r="2" spans="1:26" ht="15.75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  <c r="Z2" s="96"/>
    </row>
    <row r="3" spans="1:26" ht="15.75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  <c r="Z3" s="96"/>
    </row>
    <row r="4" spans="1:26" ht="15.75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  <c r="Z4" s="96"/>
    </row>
    <row r="5" spans="1:26" ht="15.75" customHeight="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6"/>
      <c r="Z5" s="96"/>
    </row>
    <row r="6" spans="1:26" ht="15.75" customHeight="1" x14ac:dyDescent="0.25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  <c r="Z6" s="96"/>
    </row>
    <row r="7" spans="1:26" ht="15.75" customHeight="1" x14ac:dyDescent="0.2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6"/>
      <c r="Z7" s="96"/>
    </row>
    <row r="8" spans="1:26" ht="15.75" customHeight="1" x14ac:dyDescent="0.2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6"/>
      <c r="Z8" s="96"/>
    </row>
    <row r="9" spans="1:26" ht="15.75" customHeight="1" x14ac:dyDescent="0.2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6"/>
      <c r="Z9" s="96"/>
    </row>
    <row r="10" spans="1:26" ht="15.75" customHeight="1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6"/>
      <c r="Z10" s="96"/>
    </row>
    <row r="11" spans="1:26" ht="15.75" customHeight="1" x14ac:dyDescent="0.2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6"/>
      <c r="Z11" s="96"/>
    </row>
    <row r="12" spans="1:26" ht="15.75" customHeight="1" x14ac:dyDescent="0.25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6"/>
      <c r="Z12" s="96"/>
    </row>
    <row r="13" spans="1:26" ht="15.75" customHeight="1" x14ac:dyDescent="0.25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6"/>
    </row>
    <row r="14" spans="1:26" ht="15.75" customHeight="1" x14ac:dyDescent="0.2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6"/>
      <c r="Z14" s="96"/>
    </row>
    <row r="15" spans="1:26" ht="15.75" customHeight="1" x14ac:dyDescent="0.2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6"/>
      <c r="Z15" s="96"/>
    </row>
    <row r="16" spans="1:26" ht="15.75" customHeight="1" x14ac:dyDescent="0.2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6"/>
      <c r="Z16" s="96"/>
    </row>
    <row r="17" spans="1:26" ht="15.75" customHeight="1" x14ac:dyDescent="0.25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6"/>
      <c r="Z17" s="96"/>
    </row>
    <row r="18" spans="1:26" ht="15.75" customHeight="1" x14ac:dyDescent="0.25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6"/>
      <c r="Z18" s="96"/>
    </row>
    <row r="19" spans="1:26" ht="15.75" customHeight="1" x14ac:dyDescent="0.2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6"/>
      <c r="Z19" s="96"/>
    </row>
    <row r="20" spans="1:26" ht="15.75" customHeight="1" x14ac:dyDescent="0.2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6"/>
      <c r="Z20" s="96"/>
    </row>
    <row r="21" spans="1:26" ht="15.75" customHeight="1" x14ac:dyDescent="0.25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6"/>
      <c r="Z21" s="96"/>
    </row>
    <row r="22" spans="1:26" ht="15.75" customHeight="1" x14ac:dyDescent="0.25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6"/>
      <c r="Z22" s="96"/>
    </row>
    <row r="23" spans="1:26" ht="15.75" customHeight="1" x14ac:dyDescent="0.25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6"/>
      <c r="Z23" s="96"/>
    </row>
    <row r="24" spans="1:26" ht="15.75" customHeight="1" x14ac:dyDescent="0.2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6"/>
      <c r="Z24" s="96"/>
    </row>
    <row r="25" spans="1:26" ht="15.75" customHeight="1" x14ac:dyDescent="0.2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6"/>
      <c r="Z25" s="96"/>
    </row>
    <row r="26" spans="1:26" ht="15.75" customHeight="1" x14ac:dyDescent="0.25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  <c r="Z26" s="96"/>
    </row>
    <row r="27" spans="1:26" ht="15.75" customHeight="1" x14ac:dyDescent="0.2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6"/>
      <c r="Z27" s="96"/>
    </row>
    <row r="28" spans="1:26" ht="15.75" customHeight="1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6"/>
      <c r="Z28" s="96"/>
    </row>
    <row r="29" spans="1:26" ht="15.75" customHeight="1" x14ac:dyDescent="0.25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6"/>
      <c r="Z29" s="96"/>
    </row>
    <row r="30" spans="1:26" ht="15.75" customHeight="1" x14ac:dyDescent="0.25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96"/>
    </row>
    <row r="31" spans="1:26" ht="15.75" customHeight="1" x14ac:dyDescent="0.25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6"/>
      <c r="Z31" s="96"/>
    </row>
    <row r="32" spans="1:26" ht="15.75" customHeight="1" x14ac:dyDescent="0.25">
      <c r="A32" s="97"/>
      <c r="B32" s="97"/>
      <c r="C32" s="97"/>
      <c r="D32" s="97"/>
      <c r="E32" s="97"/>
      <c r="F32" s="95"/>
      <c r="G32" s="97"/>
      <c r="H32" s="97"/>
      <c r="I32" s="97"/>
      <c r="J32" s="97"/>
      <c r="K32" s="97"/>
      <c r="L32" s="97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6"/>
      <c r="Z32" s="96"/>
    </row>
    <row r="33" spans="1:26" ht="15.75" customHeight="1" x14ac:dyDescent="0.25">
      <c r="A33" s="168" t="s">
        <v>438</v>
      </c>
      <c r="B33" s="169"/>
      <c r="C33" s="169"/>
      <c r="D33" s="169"/>
      <c r="E33" s="170"/>
      <c r="F33" s="98"/>
      <c r="G33" s="168" t="s">
        <v>439</v>
      </c>
      <c r="H33" s="169"/>
      <c r="I33" s="169"/>
      <c r="J33" s="169"/>
      <c r="K33" s="169"/>
      <c r="L33" s="170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6"/>
      <c r="Z33" s="96"/>
    </row>
    <row r="34" spans="1:26" ht="15.75" customHeight="1" x14ac:dyDescent="0.25">
      <c r="A34" s="99" t="s">
        <v>440</v>
      </c>
      <c r="B34" s="100" t="s">
        <v>441</v>
      </c>
      <c r="C34" s="100" t="s">
        <v>442</v>
      </c>
      <c r="D34" s="100" t="s">
        <v>443</v>
      </c>
      <c r="E34" s="100" t="s">
        <v>444</v>
      </c>
      <c r="F34" s="95"/>
      <c r="G34" s="101" t="s">
        <v>445</v>
      </c>
      <c r="H34" s="102" t="s">
        <v>446</v>
      </c>
      <c r="I34" s="102" t="s">
        <v>439</v>
      </c>
      <c r="J34" s="102" t="s">
        <v>447</v>
      </c>
      <c r="K34" s="102" t="s">
        <v>448</v>
      </c>
      <c r="L34" s="102" t="s">
        <v>449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6"/>
      <c r="Z34" s="96"/>
    </row>
    <row r="35" spans="1:26" ht="113.25" customHeight="1" x14ac:dyDescent="0.25">
      <c r="A35" s="103">
        <v>1</v>
      </c>
      <c r="B35" s="103" t="s">
        <v>450</v>
      </c>
      <c r="C35" s="104" t="s">
        <v>451</v>
      </c>
      <c r="D35" s="104" t="s">
        <v>452</v>
      </c>
      <c r="E35" s="105" t="s">
        <v>453</v>
      </c>
      <c r="F35" s="95"/>
      <c r="G35" s="29">
        <v>1</v>
      </c>
      <c r="H35" s="105" t="s">
        <v>454</v>
      </c>
      <c r="I35" s="28" t="s">
        <v>455</v>
      </c>
      <c r="J35" s="28" t="s">
        <v>456</v>
      </c>
      <c r="K35" s="28" t="s">
        <v>287</v>
      </c>
      <c r="L35" s="28" t="s">
        <v>287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6"/>
      <c r="Z35" s="96"/>
    </row>
    <row r="36" spans="1:26" ht="15.75" customHeight="1" x14ac:dyDescent="0.25">
      <c r="A36" s="171">
        <v>2</v>
      </c>
      <c r="B36" s="171" t="s">
        <v>457</v>
      </c>
      <c r="C36" s="173" t="s">
        <v>458</v>
      </c>
      <c r="D36" s="106" t="s">
        <v>459</v>
      </c>
      <c r="E36" s="29" t="s">
        <v>460</v>
      </c>
      <c r="F36" s="95"/>
      <c r="G36" s="29">
        <v>2</v>
      </c>
      <c r="H36" s="106" t="s">
        <v>461</v>
      </c>
      <c r="I36" s="28" t="s">
        <v>462</v>
      </c>
      <c r="J36" s="28" t="s">
        <v>463</v>
      </c>
      <c r="K36" s="28" t="s">
        <v>464</v>
      </c>
      <c r="L36" s="28" t="s">
        <v>465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6"/>
      <c r="Z36" s="96"/>
    </row>
    <row r="37" spans="1:26" ht="15.75" customHeight="1" x14ac:dyDescent="0.25">
      <c r="A37" s="172"/>
      <c r="B37" s="172"/>
      <c r="C37" s="160"/>
      <c r="D37" s="106" t="s">
        <v>466</v>
      </c>
      <c r="E37" s="29" t="s">
        <v>467</v>
      </c>
      <c r="F37" s="95"/>
      <c r="G37" s="29">
        <v>3</v>
      </c>
      <c r="H37" s="106" t="s">
        <v>466</v>
      </c>
      <c r="I37" s="28" t="s">
        <v>468</v>
      </c>
      <c r="J37" s="28" t="s">
        <v>469</v>
      </c>
      <c r="K37" s="28" t="s">
        <v>470</v>
      </c>
      <c r="L37" s="28" t="s">
        <v>465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6"/>
      <c r="Z37" s="96"/>
    </row>
    <row r="38" spans="1:26" ht="15.75" customHeight="1" x14ac:dyDescent="0.25">
      <c r="A38" s="172"/>
      <c r="B38" s="172"/>
      <c r="C38" s="174" t="s">
        <v>471</v>
      </c>
      <c r="D38" s="107" t="s">
        <v>472</v>
      </c>
      <c r="E38" s="171" t="s">
        <v>473</v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96"/>
    </row>
    <row r="39" spans="1:26" ht="15.75" customHeight="1" x14ac:dyDescent="0.25">
      <c r="A39" s="160"/>
      <c r="B39" s="160"/>
      <c r="C39" s="160"/>
      <c r="D39" s="107" t="s">
        <v>474</v>
      </c>
      <c r="E39" s="160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6"/>
      <c r="Z39" s="96"/>
    </row>
    <row r="40" spans="1:26" ht="15.75" customHeight="1" x14ac:dyDescent="0.2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6"/>
      <c r="Z40" s="96"/>
    </row>
    <row r="41" spans="1:26" ht="15.75" customHeight="1" x14ac:dyDescent="0.25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6"/>
      <c r="Z41" s="96"/>
    </row>
    <row r="42" spans="1:26" ht="15.75" customHeight="1" x14ac:dyDescent="0.25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6"/>
      <c r="Z42" s="96"/>
    </row>
    <row r="43" spans="1:26" ht="15.75" customHeight="1" x14ac:dyDescent="0.25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6"/>
      <c r="Z43" s="96"/>
    </row>
    <row r="44" spans="1:26" ht="15.75" customHeight="1" x14ac:dyDescent="0.2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6"/>
      <c r="Z44" s="96"/>
    </row>
    <row r="45" spans="1:26" ht="15.75" customHeight="1" x14ac:dyDescent="0.2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6"/>
      <c r="Z45" s="96"/>
    </row>
    <row r="46" spans="1:26" ht="15.75" customHeight="1" x14ac:dyDescent="0.25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6"/>
      <c r="Z46" s="96"/>
    </row>
    <row r="47" spans="1:26" ht="15.75" customHeight="1" x14ac:dyDescent="0.25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6"/>
      <c r="Z47" s="96"/>
    </row>
    <row r="48" spans="1:26" ht="15.7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6"/>
      <c r="Z48" s="96"/>
    </row>
    <row r="49" spans="1:26" ht="15.75" customHeight="1" x14ac:dyDescent="0.2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6"/>
      <c r="Z49" s="96"/>
    </row>
    <row r="50" spans="1:26" ht="15.7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6"/>
      <c r="Z50" s="96"/>
    </row>
    <row r="51" spans="1:26" ht="15.75" customHeight="1" x14ac:dyDescent="0.25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6"/>
      <c r="Z51" s="96"/>
    </row>
    <row r="52" spans="1:26" ht="15.75" customHeight="1" x14ac:dyDescent="0.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6"/>
      <c r="Z52" s="96"/>
    </row>
    <row r="53" spans="1:26" ht="15.75" customHeight="1" x14ac:dyDescent="0.25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6"/>
      <c r="Z53" s="96"/>
    </row>
    <row r="54" spans="1:26" ht="15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6"/>
      <c r="Z54" s="96"/>
    </row>
    <row r="55" spans="1:26" ht="15.75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6"/>
      <c r="Z55" s="96"/>
    </row>
    <row r="56" spans="1:26" ht="15.75" customHeight="1" x14ac:dyDescent="0.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6"/>
      <c r="Z56" s="96"/>
    </row>
    <row r="57" spans="1:26" ht="15.75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6"/>
      <c r="Z57" s="96"/>
    </row>
    <row r="58" spans="1:26" ht="15.75" customHeight="1" x14ac:dyDescent="0.2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6"/>
      <c r="Z58" s="96"/>
    </row>
    <row r="59" spans="1:26" ht="15.75" customHeight="1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6"/>
      <c r="Z59" s="96"/>
    </row>
    <row r="60" spans="1:26" ht="15.75" customHeight="1" x14ac:dyDescent="0.2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6"/>
      <c r="Z60" s="96"/>
    </row>
    <row r="61" spans="1:26" ht="15.75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6"/>
      <c r="Z61" s="96"/>
    </row>
    <row r="62" spans="1:26" ht="15.75" customHeight="1" x14ac:dyDescent="0.25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6"/>
      <c r="Z62" s="96"/>
    </row>
    <row r="63" spans="1:26" ht="15.75" customHeight="1" x14ac:dyDescent="0.2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6"/>
      <c r="Z63" s="96"/>
    </row>
    <row r="64" spans="1:26" ht="15.75" customHeight="1" x14ac:dyDescent="0.25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6"/>
      <c r="Z64" s="96"/>
    </row>
    <row r="65" spans="1:26" ht="15.75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6"/>
      <c r="Z65" s="96"/>
    </row>
    <row r="66" spans="1:26" ht="15.75" customHeight="1" x14ac:dyDescent="0.25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6"/>
      <c r="Z66" s="96"/>
    </row>
    <row r="67" spans="1:26" ht="15.75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6"/>
      <c r="Z67" s="96"/>
    </row>
    <row r="68" spans="1:26" ht="15.75" customHeight="1" x14ac:dyDescent="0.25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6"/>
      <c r="Z68" s="96"/>
    </row>
    <row r="69" spans="1:26" ht="15.75" customHeight="1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6"/>
      <c r="Z69" s="96"/>
    </row>
    <row r="70" spans="1:26" ht="15.75" customHeight="1" x14ac:dyDescent="0.25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6"/>
      <c r="Z70" s="96"/>
    </row>
    <row r="71" spans="1:26" ht="15.75" customHeight="1" x14ac:dyDescent="0.25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6"/>
      <c r="Z71" s="96"/>
    </row>
    <row r="72" spans="1:26" ht="15.7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6"/>
      <c r="Z72" s="96"/>
    </row>
    <row r="73" spans="1:26" ht="15.75" customHeight="1" x14ac:dyDescent="0.2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6"/>
      <c r="Z73" s="96"/>
    </row>
    <row r="74" spans="1:26" ht="15.75" customHeight="1" x14ac:dyDescent="0.25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6"/>
      <c r="Z74" s="96"/>
    </row>
    <row r="75" spans="1:26" ht="15.75" customHeight="1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6"/>
      <c r="Z75" s="96"/>
    </row>
    <row r="76" spans="1:26" ht="15.75" customHeight="1" x14ac:dyDescent="0.25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6"/>
      <c r="Z76" s="96"/>
    </row>
    <row r="77" spans="1:26" ht="15.75" customHeight="1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6"/>
      <c r="Z77" s="96"/>
    </row>
    <row r="78" spans="1:26" ht="15.75" customHeight="1" x14ac:dyDescent="0.25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6"/>
      <c r="Z78" s="96"/>
    </row>
    <row r="79" spans="1:26" ht="15.75" customHeight="1" x14ac:dyDescent="0.2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6"/>
      <c r="Z79" s="96"/>
    </row>
    <row r="80" spans="1:26" ht="15.75" customHeight="1" x14ac:dyDescent="0.2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6"/>
      <c r="Z80" s="96"/>
    </row>
    <row r="81" spans="1:26" ht="15.75" customHeight="1" x14ac:dyDescent="0.25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6"/>
      <c r="Z81" s="96"/>
    </row>
    <row r="82" spans="1:26" ht="15.75" customHeight="1" x14ac:dyDescent="0.25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6"/>
      <c r="Z82" s="96"/>
    </row>
    <row r="83" spans="1:26" ht="15.75" customHeight="1" x14ac:dyDescent="0.25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6"/>
      <c r="Z83" s="96"/>
    </row>
    <row r="84" spans="1:26" ht="15.75" customHeight="1" x14ac:dyDescent="0.25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6"/>
      <c r="Z84" s="96"/>
    </row>
    <row r="85" spans="1:26" ht="15.75" customHeight="1" x14ac:dyDescent="0.2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6"/>
      <c r="Z85" s="96"/>
    </row>
    <row r="86" spans="1:26" ht="15.75" customHeight="1" x14ac:dyDescent="0.2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6"/>
      <c r="Z86" s="96"/>
    </row>
    <row r="87" spans="1:26" ht="15.75" customHeight="1" x14ac:dyDescent="0.2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6"/>
      <c r="Z87" s="96"/>
    </row>
    <row r="88" spans="1:26" ht="15.75" customHeight="1" x14ac:dyDescent="0.25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6"/>
      <c r="Z88" s="96"/>
    </row>
    <row r="89" spans="1:26" ht="15.75" customHeight="1" x14ac:dyDescent="0.2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6"/>
      <c r="Z89" s="96"/>
    </row>
    <row r="90" spans="1:26" ht="15.75" customHeight="1" x14ac:dyDescent="0.25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6"/>
      <c r="Z90" s="96"/>
    </row>
    <row r="91" spans="1:26" ht="15.75" customHeight="1" x14ac:dyDescent="0.25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6"/>
      <c r="Z91" s="96"/>
    </row>
    <row r="92" spans="1:26" ht="15.75" customHeight="1" x14ac:dyDescent="0.2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6"/>
      <c r="Z92" s="96"/>
    </row>
    <row r="93" spans="1:26" ht="15.75" customHeight="1" x14ac:dyDescent="0.25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6"/>
      <c r="Z93" s="96"/>
    </row>
    <row r="94" spans="1:26" ht="15.75" customHeight="1" x14ac:dyDescent="0.25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6"/>
      <c r="Z94" s="96"/>
    </row>
    <row r="95" spans="1:26" ht="15.75" customHeight="1" x14ac:dyDescent="0.2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6"/>
      <c r="Z95" s="96"/>
    </row>
    <row r="96" spans="1:26" ht="15.75" customHeight="1" x14ac:dyDescent="0.25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6"/>
      <c r="Z96" s="96"/>
    </row>
    <row r="97" spans="1:26" ht="15.75" customHeight="1" x14ac:dyDescent="0.25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6"/>
      <c r="Z97" s="96"/>
    </row>
    <row r="98" spans="1:26" ht="15.75" customHeight="1" x14ac:dyDescent="0.25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6"/>
      <c r="Z98" s="96"/>
    </row>
    <row r="99" spans="1:26" ht="15.75" customHeight="1" x14ac:dyDescent="0.25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6"/>
      <c r="Z99" s="96"/>
    </row>
    <row r="100" spans="1:26" ht="15.75" customHeight="1" x14ac:dyDescent="0.25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6"/>
      <c r="Z100" s="96"/>
    </row>
    <row r="101" spans="1:26" ht="15.75" customHeight="1" x14ac:dyDescent="0.25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6"/>
      <c r="Z101" s="96"/>
    </row>
    <row r="102" spans="1:26" ht="15.75" customHeight="1" x14ac:dyDescent="0.25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6"/>
      <c r="Z102" s="96"/>
    </row>
    <row r="103" spans="1:26" ht="15.75" customHeight="1" x14ac:dyDescent="0.25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6"/>
      <c r="Z103" s="96"/>
    </row>
    <row r="104" spans="1:26" ht="15.75" customHeight="1" x14ac:dyDescent="0.25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6"/>
      <c r="Z104" s="96"/>
    </row>
    <row r="105" spans="1:26" ht="15.75" customHeight="1" x14ac:dyDescent="0.2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6"/>
      <c r="Z105" s="96"/>
    </row>
    <row r="106" spans="1:26" ht="15.75" customHeight="1" x14ac:dyDescent="0.25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6"/>
      <c r="Z106" s="96"/>
    </row>
    <row r="107" spans="1:26" ht="15.75" customHeight="1" x14ac:dyDescent="0.2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6"/>
      <c r="Z107" s="96"/>
    </row>
    <row r="108" spans="1:26" ht="15.75" customHeight="1" x14ac:dyDescent="0.25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6"/>
      <c r="Z108" s="96"/>
    </row>
    <row r="109" spans="1:26" ht="15.75" customHeight="1" x14ac:dyDescent="0.25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6"/>
      <c r="Z109" s="96"/>
    </row>
    <row r="110" spans="1:26" ht="15.75" customHeight="1" x14ac:dyDescent="0.25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6"/>
      <c r="Z110" s="96"/>
    </row>
    <row r="111" spans="1:26" ht="15.75" customHeight="1" x14ac:dyDescent="0.25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6"/>
      <c r="Z111" s="96"/>
    </row>
    <row r="112" spans="1:26" ht="15.75" customHeight="1" x14ac:dyDescent="0.25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6"/>
      <c r="Z112" s="96"/>
    </row>
    <row r="113" spans="1:26" ht="15.75" customHeight="1" x14ac:dyDescent="0.25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6"/>
      <c r="Z113" s="96"/>
    </row>
    <row r="114" spans="1:26" ht="15.75" customHeight="1" x14ac:dyDescent="0.2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6"/>
      <c r="Z114" s="96"/>
    </row>
    <row r="115" spans="1:26" ht="15.75" customHeight="1" x14ac:dyDescent="0.2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6"/>
      <c r="Z115" s="96"/>
    </row>
    <row r="116" spans="1:26" ht="15.75" customHeight="1" x14ac:dyDescent="0.25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6"/>
      <c r="Z116" s="96"/>
    </row>
    <row r="117" spans="1:26" ht="15.75" customHeight="1" x14ac:dyDescent="0.25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6"/>
      <c r="Z117" s="96"/>
    </row>
    <row r="118" spans="1:26" ht="15.75" customHeight="1" x14ac:dyDescent="0.25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6"/>
      <c r="Z118" s="96"/>
    </row>
    <row r="119" spans="1:26" ht="15.75" customHeight="1" x14ac:dyDescent="0.25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6"/>
      <c r="Z119" s="96"/>
    </row>
    <row r="120" spans="1:26" ht="15.75" customHeight="1" x14ac:dyDescent="0.25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6"/>
      <c r="Z120" s="96"/>
    </row>
    <row r="121" spans="1:26" ht="15.75" customHeight="1" x14ac:dyDescent="0.25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6"/>
      <c r="Z121" s="96"/>
    </row>
    <row r="122" spans="1:26" ht="15.75" customHeight="1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6"/>
      <c r="Z122" s="96"/>
    </row>
    <row r="123" spans="1:26" ht="15.75" customHeight="1" x14ac:dyDescent="0.25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6"/>
      <c r="Z123" s="96"/>
    </row>
    <row r="124" spans="1:26" ht="15.75" customHeight="1" x14ac:dyDescent="0.25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6"/>
      <c r="Z124" s="96"/>
    </row>
    <row r="125" spans="1:26" ht="15.75" customHeight="1" x14ac:dyDescent="0.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6"/>
      <c r="Z125" s="96"/>
    </row>
    <row r="126" spans="1:26" ht="15.75" customHeight="1" x14ac:dyDescent="0.25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6"/>
      <c r="Z126" s="96"/>
    </row>
    <row r="127" spans="1:26" ht="15.75" customHeight="1" x14ac:dyDescent="0.25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6"/>
      <c r="Z127" s="96"/>
    </row>
    <row r="128" spans="1:26" ht="15.75" customHeight="1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6"/>
      <c r="Z128" s="96"/>
    </row>
    <row r="129" spans="1:26" ht="15.75" customHeight="1" x14ac:dyDescent="0.25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6"/>
      <c r="Z129" s="96"/>
    </row>
    <row r="130" spans="1:26" ht="15.75" customHeight="1" x14ac:dyDescent="0.25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6"/>
      <c r="Z130" s="96"/>
    </row>
    <row r="131" spans="1:26" ht="15.75" customHeight="1" x14ac:dyDescent="0.25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6"/>
      <c r="Z131" s="96"/>
    </row>
    <row r="132" spans="1:26" ht="15.75" customHeight="1" x14ac:dyDescent="0.25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6"/>
      <c r="Z132" s="96"/>
    </row>
    <row r="133" spans="1:26" ht="15.75" customHeight="1" x14ac:dyDescent="0.25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6"/>
      <c r="Z133" s="96"/>
    </row>
    <row r="134" spans="1:26" ht="15.75" customHeight="1" x14ac:dyDescent="0.25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6"/>
      <c r="Z134" s="96"/>
    </row>
    <row r="135" spans="1:26" ht="15.75" customHeight="1" x14ac:dyDescent="0.2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6"/>
      <c r="Z135" s="96"/>
    </row>
    <row r="136" spans="1:26" ht="15.75" customHeight="1" x14ac:dyDescent="0.25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6"/>
      <c r="Z136" s="96"/>
    </row>
    <row r="137" spans="1:26" ht="15.75" customHeight="1" x14ac:dyDescent="0.25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6"/>
      <c r="Z137" s="96"/>
    </row>
    <row r="138" spans="1:26" ht="15.75" customHeight="1" x14ac:dyDescent="0.25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6"/>
      <c r="Z138" s="96"/>
    </row>
    <row r="139" spans="1:26" ht="15.75" customHeight="1" x14ac:dyDescent="0.25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6"/>
      <c r="Z139" s="96"/>
    </row>
    <row r="140" spans="1:26" ht="15.75" customHeight="1" x14ac:dyDescent="0.25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6"/>
      <c r="Z140" s="96"/>
    </row>
    <row r="141" spans="1:26" ht="15.75" customHeight="1" x14ac:dyDescent="0.25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6"/>
      <c r="Z141" s="96"/>
    </row>
    <row r="142" spans="1:26" ht="15.75" customHeight="1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6"/>
      <c r="Z142" s="96"/>
    </row>
    <row r="143" spans="1:26" ht="15.75" customHeight="1" x14ac:dyDescent="0.25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6"/>
      <c r="Z143" s="96"/>
    </row>
    <row r="144" spans="1:26" ht="15.75" customHeight="1" x14ac:dyDescent="0.25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6"/>
      <c r="Z144" s="96"/>
    </row>
    <row r="145" spans="1:26" ht="15.75" customHeight="1" x14ac:dyDescent="0.2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6"/>
      <c r="Z145" s="96"/>
    </row>
    <row r="146" spans="1:26" ht="15.75" customHeight="1" x14ac:dyDescent="0.25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6"/>
      <c r="Z146" s="96"/>
    </row>
    <row r="147" spans="1:26" ht="15.75" customHeight="1" x14ac:dyDescent="0.25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6"/>
      <c r="Z147" s="96"/>
    </row>
    <row r="148" spans="1:26" ht="15.75" customHeight="1" x14ac:dyDescent="0.25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6"/>
      <c r="Z148" s="96"/>
    </row>
    <row r="149" spans="1:26" ht="15.75" customHeight="1" x14ac:dyDescent="0.25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6"/>
      <c r="Z149" s="96"/>
    </row>
    <row r="150" spans="1:26" ht="15.75" customHeight="1" x14ac:dyDescent="0.25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6"/>
      <c r="Z150" s="96"/>
    </row>
    <row r="151" spans="1:26" ht="15.75" customHeight="1" x14ac:dyDescent="0.25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6"/>
      <c r="Z151" s="96"/>
    </row>
    <row r="152" spans="1:26" ht="15.75" customHeight="1" x14ac:dyDescent="0.25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6"/>
      <c r="Z152" s="96"/>
    </row>
    <row r="153" spans="1:26" ht="15.75" customHeight="1" x14ac:dyDescent="0.25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6"/>
      <c r="Z153" s="96"/>
    </row>
    <row r="154" spans="1:26" ht="15.75" customHeight="1" x14ac:dyDescent="0.25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6"/>
      <c r="Z154" s="96"/>
    </row>
    <row r="155" spans="1:26" ht="15.75" customHeight="1" x14ac:dyDescent="0.2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6"/>
      <c r="Z155" s="96"/>
    </row>
    <row r="156" spans="1:26" ht="15.75" customHeight="1" x14ac:dyDescent="0.25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6"/>
      <c r="Z156" s="96"/>
    </row>
    <row r="157" spans="1:26" ht="15.75" customHeight="1" x14ac:dyDescent="0.25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6"/>
      <c r="Z157" s="96"/>
    </row>
    <row r="158" spans="1:26" ht="15.75" customHeight="1" x14ac:dyDescent="0.25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6"/>
      <c r="Z158" s="96"/>
    </row>
    <row r="159" spans="1:26" ht="15.75" customHeight="1" x14ac:dyDescent="0.25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6"/>
      <c r="Z159" s="96"/>
    </row>
    <row r="160" spans="1:26" ht="15.7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6"/>
      <c r="Z160" s="96"/>
    </row>
    <row r="161" spans="1:26" ht="15.75" customHeight="1" x14ac:dyDescent="0.25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6"/>
      <c r="Z161" s="96"/>
    </row>
    <row r="162" spans="1:26" ht="15.75" customHeight="1" x14ac:dyDescent="0.25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6"/>
      <c r="Z162" s="96"/>
    </row>
    <row r="163" spans="1:26" ht="15.75" customHeight="1" x14ac:dyDescent="0.25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6"/>
      <c r="Z163" s="96"/>
    </row>
    <row r="164" spans="1:26" ht="15.75" customHeight="1" x14ac:dyDescent="0.25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6"/>
      <c r="Z164" s="96"/>
    </row>
    <row r="165" spans="1:26" ht="15.75" customHeight="1" x14ac:dyDescent="0.2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6"/>
      <c r="Z165" s="96"/>
    </row>
    <row r="166" spans="1:26" ht="15.75" customHeight="1" x14ac:dyDescent="0.25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6"/>
      <c r="Z166" s="96"/>
    </row>
    <row r="167" spans="1:26" ht="15.75" customHeight="1" x14ac:dyDescent="0.25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6"/>
      <c r="Z167" s="96"/>
    </row>
    <row r="168" spans="1:26" ht="15.75" customHeight="1" x14ac:dyDescent="0.25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6"/>
      <c r="Z168" s="96"/>
    </row>
    <row r="169" spans="1:26" ht="15.75" customHeight="1" x14ac:dyDescent="0.25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6"/>
      <c r="Z169" s="96"/>
    </row>
    <row r="170" spans="1:26" ht="15.75" customHeight="1" x14ac:dyDescent="0.25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6"/>
      <c r="Z170" s="96"/>
    </row>
    <row r="171" spans="1:26" ht="15.75" customHeight="1" x14ac:dyDescent="0.25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6"/>
      <c r="Z171" s="96"/>
    </row>
    <row r="172" spans="1:26" ht="15.75" customHeight="1" x14ac:dyDescent="0.25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6"/>
      <c r="Z172" s="96"/>
    </row>
    <row r="173" spans="1:26" ht="15.75" customHeight="1" x14ac:dyDescent="0.25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6"/>
      <c r="Z173" s="96"/>
    </row>
    <row r="174" spans="1:26" ht="15.75" customHeight="1" x14ac:dyDescent="0.25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6"/>
      <c r="Z174" s="96"/>
    </row>
    <row r="175" spans="1:26" ht="15.75" customHeight="1" x14ac:dyDescent="0.2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6"/>
      <c r="Z175" s="96"/>
    </row>
    <row r="176" spans="1:26" ht="15.75" customHeight="1" x14ac:dyDescent="0.25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6"/>
      <c r="Z176" s="96"/>
    </row>
    <row r="177" spans="1:26" ht="15.75" customHeight="1" x14ac:dyDescent="0.25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6"/>
      <c r="Z177" s="96"/>
    </row>
    <row r="178" spans="1:26" ht="15.75" customHeight="1" x14ac:dyDescent="0.25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6"/>
      <c r="Z178" s="96"/>
    </row>
    <row r="179" spans="1:26" ht="15.75" customHeight="1" x14ac:dyDescent="0.25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6"/>
      <c r="Z179" s="96"/>
    </row>
    <row r="180" spans="1:26" ht="15.75" customHeight="1" x14ac:dyDescent="0.25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6"/>
      <c r="Z180" s="96"/>
    </row>
    <row r="181" spans="1:26" ht="15.75" customHeight="1" x14ac:dyDescent="0.25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6"/>
      <c r="Z181" s="96"/>
    </row>
    <row r="182" spans="1:26" ht="15.75" customHeight="1" x14ac:dyDescent="0.25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6"/>
      <c r="Z182" s="96"/>
    </row>
    <row r="183" spans="1:26" ht="15.75" customHeight="1" x14ac:dyDescent="0.25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6"/>
      <c r="Z183" s="96"/>
    </row>
    <row r="184" spans="1:26" ht="15.75" customHeight="1" x14ac:dyDescent="0.25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6"/>
      <c r="Z184" s="96"/>
    </row>
    <row r="185" spans="1:26" ht="15.75" customHeight="1" x14ac:dyDescent="0.2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6"/>
      <c r="Z185" s="96"/>
    </row>
    <row r="186" spans="1:26" ht="15.75" customHeight="1" x14ac:dyDescent="0.25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6"/>
      <c r="Z186" s="96"/>
    </row>
    <row r="187" spans="1:26" ht="15.75" customHeight="1" x14ac:dyDescent="0.25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6"/>
      <c r="Z187" s="96"/>
    </row>
    <row r="188" spans="1:26" ht="15.75" customHeight="1" x14ac:dyDescent="0.25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6"/>
      <c r="Z188" s="96"/>
    </row>
    <row r="189" spans="1:26" ht="15.75" customHeight="1" x14ac:dyDescent="0.25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6"/>
      <c r="Z189" s="96"/>
    </row>
    <row r="190" spans="1:26" ht="15.75" customHeight="1" x14ac:dyDescent="0.25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6"/>
      <c r="Z190" s="96"/>
    </row>
    <row r="191" spans="1:26" ht="15.75" customHeight="1" x14ac:dyDescent="0.25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6"/>
      <c r="Z191" s="96"/>
    </row>
    <row r="192" spans="1:26" ht="15.75" customHeight="1" x14ac:dyDescent="0.25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6"/>
      <c r="Z192" s="96"/>
    </row>
    <row r="193" spans="1:26" ht="15.75" customHeight="1" x14ac:dyDescent="0.25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6"/>
      <c r="Z193" s="96"/>
    </row>
    <row r="194" spans="1:26" ht="15.75" customHeight="1" x14ac:dyDescent="0.25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6"/>
      <c r="Z194" s="96"/>
    </row>
    <row r="195" spans="1:26" ht="15.75" customHeight="1" x14ac:dyDescent="0.2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6"/>
      <c r="Z195" s="96"/>
    </row>
    <row r="196" spans="1:26" ht="15.75" customHeight="1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6"/>
      <c r="Z196" s="96"/>
    </row>
    <row r="197" spans="1:26" ht="15.75" customHeight="1" x14ac:dyDescent="0.25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6"/>
      <c r="Z197" s="96"/>
    </row>
    <row r="198" spans="1:26" ht="15.75" customHeight="1" x14ac:dyDescent="0.25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6"/>
      <c r="Z198" s="96"/>
    </row>
    <row r="199" spans="1:26" ht="15.75" customHeight="1" x14ac:dyDescent="0.25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6"/>
      <c r="Z199" s="96"/>
    </row>
    <row r="200" spans="1:26" ht="15.75" customHeight="1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6"/>
      <c r="Z200" s="96"/>
    </row>
    <row r="201" spans="1:26" ht="15.75" customHeight="1" x14ac:dyDescent="0.25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6"/>
      <c r="Z201" s="96"/>
    </row>
    <row r="202" spans="1:26" ht="15.75" customHeight="1" x14ac:dyDescent="0.25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6"/>
      <c r="Z202" s="96"/>
    </row>
    <row r="203" spans="1:26" ht="15.75" customHeight="1" x14ac:dyDescent="0.25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6"/>
      <c r="Z203" s="96"/>
    </row>
    <row r="204" spans="1:26" ht="15.75" customHeight="1" x14ac:dyDescent="0.25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6"/>
      <c r="Z204" s="96"/>
    </row>
    <row r="205" spans="1:26" ht="15.75" customHeight="1" x14ac:dyDescent="0.2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6"/>
      <c r="Z205" s="96"/>
    </row>
    <row r="206" spans="1:26" ht="15.75" customHeight="1" x14ac:dyDescent="0.25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6"/>
      <c r="Z206" s="96"/>
    </row>
    <row r="207" spans="1:26" ht="15.75" customHeight="1" x14ac:dyDescent="0.25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6"/>
      <c r="Z207" s="96"/>
    </row>
    <row r="208" spans="1:26" ht="15.75" customHeight="1" x14ac:dyDescent="0.25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6"/>
      <c r="Z208" s="96"/>
    </row>
    <row r="209" spans="1:26" ht="15.75" customHeight="1" x14ac:dyDescent="0.25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6"/>
      <c r="Z209" s="96"/>
    </row>
    <row r="210" spans="1:26" ht="15.75" customHeight="1" x14ac:dyDescent="0.25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6"/>
      <c r="Z210" s="96"/>
    </row>
    <row r="211" spans="1:26" ht="15.75" customHeight="1" x14ac:dyDescent="0.25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6"/>
      <c r="Z211" s="96"/>
    </row>
    <row r="212" spans="1:26" ht="15.75" customHeight="1" x14ac:dyDescent="0.25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6"/>
      <c r="Z212" s="96"/>
    </row>
    <row r="213" spans="1:26" ht="15.75" customHeight="1" x14ac:dyDescent="0.25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6"/>
      <c r="Z213" s="96"/>
    </row>
    <row r="214" spans="1:26" ht="15.75" customHeight="1" x14ac:dyDescent="0.25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6"/>
      <c r="Z214" s="96"/>
    </row>
    <row r="215" spans="1:26" ht="15.75" customHeight="1" x14ac:dyDescent="0.2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6"/>
      <c r="Z215" s="96"/>
    </row>
    <row r="216" spans="1:26" ht="15.75" customHeight="1" x14ac:dyDescent="0.25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6"/>
      <c r="Z216" s="96"/>
    </row>
    <row r="217" spans="1:26" ht="15.75" customHeight="1" x14ac:dyDescent="0.25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6"/>
      <c r="Z217" s="96"/>
    </row>
    <row r="218" spans="1:26" ht="15.75" customHeight="1" x14ac:dyDescent="0.25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6"/>
      <c r="Z218" s="96"/>
    </row>
    <row r="219" spans="1:26" ht="15.75" customHeight="1" x14ac:dyDescent="0.25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6"/>
      <c r="Z219" s="96"/>
    </row>
    <row r="220" spans="1:26" ht="15.75" customHeight="1" x14ac:dyDescent="0.25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6"/>
      <c r="Z220" s="96"/>
    </row>
    <row r="221" spans="1:26" ht="15.75" customHeight="1" x14ac:dyDescent="0.25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6"/>
      <c r="Z221" s="96"/>
    </row>
    <row r="222" spans="1:26" ht="15.75" customHeight="1" x14ac:dyDescent="0.25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6"/>
      <c r="Z222" s="96"/>
    </row>
    <row r="223" spans="1:26" ht="15.75" customHeight="1" x14ac:dyDescent="0.25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6"/>
      <c r="Z223" s="96"/>
    </row>
    <row r="224" spans="1:26" ht="15.75" customHeight="1" x14ac:dyDescent="0.25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6"/>
      <c r="Z224" s="96"/>
    </row>
    <row r="225" spans="1:26" ht="15.75" customHeight="1" x14ac:dyDescent="0.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6"/>
      <c r="Z225" s="96"/>
    </row>
    <row r="226" spans="1:26" ht="15.75" customHeight="1" x14ac:dyDescent="0.25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6"/>
      <c r="Z226" s="96"/>
    </row>
    <row r="227" spans="1:26" ht="15.75" customHeight="1" x14ac:dyDescent="0.25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6"/>
      <c r="Z227" s="96"/>
    </row>
    <row r="228" spans="1:26" ht="15.75" customHeight="1" x14ac:dyDescent="0.25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6"/>
      <c r="Z228" s="96"/>
    </row>
    <row r="229" spans="1:26" ht="15.75" customHeight="1" x14ac:dyDescent="0.25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6"/>
      <c r="Z229" s="96"/>
    </row>
    <row r="230" spans="1:26" ht="15.75" customHeight="1" x14ac:dyDescent="0.25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6"/>
      <c r="Z230" s="96"/>
    </row>
    <row r="231" spans="1:26" ht="15.75" customHeight="1" x14ac:dyDescent="0.25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6"/>
      <c r="Z231" s="96"/>
    </row>
    <row r="232" spans="1:26" ht="15.75" customHeight="1" x14ac:dyDescent="0.25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6"/>
      <c r="Z232" s="96"/>
    </row>
    <row r="233" spans="1:26" ht="15.75" customHeight="1" x14ac:dyDescent="0.25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6"/>
      <c r="Z233" s="96"/>
    </row>
    <row r="234" spans="1:26" ht="15.75" customHeight="1" x14ac:dyDescent="0.25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6"/>
      <c r="Z234" s="96"/>
    </row>
    <row r="235" spans="1:26" ht="15.75" customHeight="1" x14ac:dyDescent="0.2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6"/>
      <c r="Z235" s="96"/>
    </row>
    <row r="236" spans="1:26" ht="15.75" customHeight="1" x14ac:dyDescent="0.25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6"/>
      <c r="Z236" s="96"/>
    </row>
    <row r="237" spans="1:26" ht="15.75" customHeight="1" x14ac:dyDescent="0.25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6"/>
      <c r="Z237" s="96"/>
    </row>
    <row r="238" spans="1:26" ht="15.75" customHeight="1" x14ac:dyDescent="0.2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6"/>
      <c r="Z238" s="96"/>
    </row>
    <row r="239" spans="1:26" ht="15.75" customHeight="1" x14ac:dyDescent="0.25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6"/>
      <c r="Z239" s="96"/>
    </row>
    <row r="240" spans="1:26" ht="15.75" customHeight="1" x14ac:dyDescent="0.2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5.75" customHeight="1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5.75" customHeight="1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5.75" customHeight="1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5.75" customHeight="1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5.75" customHeight="1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5.75" customHeight="1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5.75" customHeight="1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5.75" customHeight="1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5.75" customHeight="1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5.75" customHeight="1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5.75" customHeight="1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5.75" customHeight="1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5.75" customHeight="1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5.75" customHeight="1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5.75" customHeight="1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5.75" customHeight="1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5.75" customHeight="1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5.75" customHeight="1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5.75" customHeight="1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5.75" customHeight="1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5.75" customHeight="1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5.75" customHeight="1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5.75" customHeight="1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5.75" customHeight="1" x14ac:dyDescent="0.2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5.75" customHeight="1" x14ac:dyDescent="0.2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5.75" customHeight="1" x14ac:dyDescent="0.2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5.75" customHeight="1" x14ac:dyDescent="0.2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5.75" customHeight="1" x14ac:dyDescent="0.2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5.75" customHeight="1" x14ac:dyDescent="0.2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5.75" customHeight="1" x14ac:dyDescent="0.2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5.75" customHeight="1" x14ac:dyDescent="0.2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5.75" customHeight="1" x14ac:dyDescent="0.2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5.75" customHeight="1" x14ac:dyDescent="0.2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5.75" customHeight="1" x14ac:dyDescent="0.2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5.75" customHeight="1" x14ac:dyDescent="0.2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5.75" customHeight="1" x14ac:dyDescent="0.2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5.75" customHeight="1" x14ac:dyDescent="0.2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5.75" customHeight="1" x14ac:dyDescent="0.2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5.75" customHeight="1" x14ac:dyDescent="0.2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5.75" customHeight="1" x14ac:dyDescent="0.2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5.75" customHeight="1" x14ac:dyDescent="0.2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5.75" customHeight="1" x14ac:dyDescent="0.2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5.75" customHeight="1" x14ac:dyDescent="0.2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5.75" customHeight="1" x14ac:dyDescent="0.2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5.75" customHeight="1" x14ac:dyDescent="0.2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5.75" customHeight="1" x14ac:dyDescent="0.2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5.75" customHeight="1" x14ac:dyDescent="0.2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5.75" customHeight="1" x14ac:dyDescent="0.2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5.75" customHeight="1" x14ac:dyDescent="0.2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5.75" customHeight="1" x14ac:dyDescent="0.2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5.75" customHeight="1" x14ac:dyDescent="0.2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5.75" customHeight="1" x14ac:dyDescent="0.2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5.75" customHeight="1" x14ac:dyDescent="0.2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5.75" customHeight="1" x14ac:dyDescent="0.2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5.75" customHeight="1" x14ac:dyDescent="0.2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5.75" customHeight="1" x14ac:dyDescent="0.2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5.75" customHeight="1" x14ac:dyDescent="0.2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5.75" customHeight="1" x14ac:dyDescent="0.2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5.75" customHeight="1" x14ac:dyDescent="0.2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5.75" customHeight="1" x14ac:dyDescent="0.2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5.75" customHeight="1" x14ac:dyDescent="0.2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5.75" customHeight="1" x14ac:dyDescent="0.2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5.75" customHeight="1" x14ac:dyDescent="0.2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5.75" customHeight="1" x14ac:dyDescent="0.2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5.75" customHeight="1" x14ac:dyDescent="0.2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5.75" customHeight="1" x14ac:dyDescent="0.2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5.75" customHeight="1" x14ac:dyDescent="0.2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5.75" customHeight="1" x14ac:dyDescent="0.2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5.75" customHeight="1" x14ac:dyDescent="0.2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5.75" customHeight="1" x14ac:dyDescent="0.2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5.75" customHeight="1" x14ac:dyDescent="0.2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5.75" customHeight="1" x14ac:dyDescent="0.2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5.75" customHeight="1" x14ac:dyDescent="0.2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5.75" customHeight="1" x14ac:dyDescent="0.2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5.75" customHeight="1" x14ac:dyDescent="0.2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5.75" customHeight="1" x14ac:dyDescent="0.2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5.75" customHeight="1" x14ac:dyDescent="0.2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5.75" customHeight="1" x14ac:dyDescent="0.2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5.75" customHeight="1" x14ac:dyDescent="0.2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5.75" customHeight="1" x14ac:dyDescent="0.2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5.75" customHeight="1" x14ac:dyDescent="0.2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5.75" customHeight="1" x14ac:dyDescent="0.2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5.75" customHeight="1" x14ac:dyDescent="0.2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5.75" customHeight="1" x14ac:dyDescent="0.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5.75" customHeight="1" x14ac:dyDescent="0.2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5.75" customHeight="1" x14ac:dyDescent="0.2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5.75" customHeight="1" x14ac:dyDescent="0.2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5.75" customHeight="1" x14ac:dyDescent="0.2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5.75" customHeight="1" x14ac:dyDescent="0.2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5.75" customHeight="1" x14ac:dyDescent="0.2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5.75" customHeight="1" x14ac:dyDescent="0.2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5.75" customHeight="1" x14ac:dyDescent="0.2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5.75" customHeight="1" x14ac:dyDescent="0.2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5.75" customHeight="1" x14ac:dyDescent="0.2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5.75" customHeight="1" x14ac:dyDescent="0.2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5.75" customHeight="1" x14ac:dyDescent="0.2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5.75" customHeight="1" x14ac:dyDescent="0.2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5.75" customHeight="1" x14ac:dyDescent="0.2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5.75" customHeight="1" x14ac:dyDescent="0.2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5.75" customHeight="1" x14ac:dyDescent="0.2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5.75" customHeight="1" x14ac:dyDescent="0.2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5.75" customHeight="1" x14ac:dyDescent="0.2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5.75" customHeight="1" x14ac:dyDescent="0.2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5.75" customHeight="1" x14ac:dyDescent="0.2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5.75" customHeight="1" x14ac:dyDescent="0.2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5.75" customHeight="1" x14ac:dyDescent="0.2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5.75" customHeight="1" x14ac:dyDescent="0.2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5.75" customHeight="1" x14ac:dyDescent="0.2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5.75" customHeight="1" x14ac:dyDescent="0.2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5.75" customHeight="1" x14ac:dyDescent="0.2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5.75" customHeight="1" x14ac:dyDescent="0.2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5.75" customHeight="1" x14ac:dyDescent="0.2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5.75" customHeight="1" x14ac:dyDescent="0.2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5.75" customHeight="1" x14ac:dyDescent="0.2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5.75" customHeight="1" x14ac:dyDescent="0.2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5.75" customHeight="1" x14ac:dyDescent="0.2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5.75" customHeight="1" x14ac:dyDescent="0.2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5.75" customHeight="1" x14ac:dyDescent="0.2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5.75" customHeight="1" x14ac:dyDescent="0.2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5.75" customHeight="1" x14ac:dyDescent="0.2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5.75" customHeight="1" x14ac:dyDescent="0.2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5.75" customHeight="1" x14ac:dyDescent="0.2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5.75" customHeight="1" x14ac:dyDescent="0.2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5.75" customHeight="1" x14ac:dyDescent="0.2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5.75" customHeight="1" x14ac:dyDescent="0.2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5.75" customHeight="1" x14ac:dyDescent="0.2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5.75" customHeight="1" x14ac:dyDescent="0.2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5.75" customHeight="1" x14ac:dyDescent="0.2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5.75" customHeight="1" x14ac:dyDescent="0.2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5.75" customHeight="1" x14ac:dyDescent="0.2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5.75" customHeight="1" x14ac:dyDescent="0.2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5.75" customHeight="1" x14ac:dyDescent="0.2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5.75" customHeight="1" x14ac:dyDescent="0.2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5.75" customHeight="1" x14ac:dyDescent="0.2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5.75" customHeight="1" x14ac:dyDescent="0.2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5.75" customHeight="1" x14ac:dyDescent="0.2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5.75" customHeight="1" x14ac:dyDescent="0.2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5.75" customHeight="1" x14ac:dyDescent="0.2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5.75" customHeight="1" x14ac:dyDescent="0.2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5.75" customHeight="1" x14ac:dyDescent="0.2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5.75" customHeight="1" x14ac:dyDescent="0.2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5.75" customHeight="1" x14ac:dyDescent="0.2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5.75" customHeight="1" x14ac:dyDescent="0.2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5.75" customHeight="1" x14ac:dyDescent="0.2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5.75" customHeight="1" x14ac:dyDescent="0.2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5.75" customHeight="1" x14ac:dyDescent="0.2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5.75" customHeight="1" x14ac:dyDescent="0.2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5.75" customHeight="1" x14ac:dyDescent="0.2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5.75" customHeight="1" x14ac:dyDescent="0.2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5.75" customHeight="1" x14ac:dyDescent="0.2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5.75" customHeight="1" x14ac:dyDescent="0.2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5.75" customHeight="1" x14ac:dyDescent="0.2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5.75" customHeight="1" x14ac:dyDescent="0.2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5.75" customHeight="1" x14ac:dyDescent="0.2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5.75" customHeight="1" x14ac:dyDescent="0.2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5.75" customHeight="1" x14ac:dyDescent="0.2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5.75" customHeight="1" x14ac:dyDescent="0.2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5.75" customHeight="1" x14ac:dyDescent="0.2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5.75" customHeight="1" x14ac:dyDescent="0.2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5.75" customHeight="1" x14ac:dyDescent="0.2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5.75" customHeight="1" x14ac:dyDescent="0.2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5.75" customHeight="1" x14ac:dyDescent="0.2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5.75" customHeight="1" x14ac:dyDescent="0.2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5.75" customHeight="1" x14ac:dyDescent="0.2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5.75" customHeight="1" x14ac:dyDescent="0.2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5.75" customHeight="1" x14ac:dyDescent="0.2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5.75" customHeight="1" x14ac:dyDescent="0.2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5.75" customHeight="1" x14ac:dyDescent="0.2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5.75" customHeight="1" x14ac:dyDescent="0.2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5.75" customHeight="1" x14ac:dyDescent="0.2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5.75" customHeight="1" x14ac:dyDescent="0.2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5.75" customHeight="1" x14ac:dyDescent="0.2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5.75" customHeight="1" x14ac:dyDescent="0.2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5.75" customHeight="1" x14ac:dyDescent="0.2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5.75" customHeight="1" x14ac:dyDescent="0.2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5.75" customHeight="1" x14ac:dyDescent="0.2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5.75" customHeight="1" x14ac:dyDescent="0.2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5.75" customHeight="1" x14ac:dyDescent="0.2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5.75" customHeight="1" x14ac:dyDescent="0.2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5.75" customHeight="1" x14ac:dyDescent="0.2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5.75" customHeight="1" x14ac:dyDescent="0.2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5.75" customHeight="1" x14ac:dyDescent="0.2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5.75" customHeight="1" x14ac:dyDescent="0.2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5.75" customHeight="1" x14ac:dyDescent="0.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5.75" customHeight="1" x14ac:dyDescent="0.2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5.75" customHeight="1" x14ac:dyDescent="0.2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5.75" customHeight="1" x14ac:dyDescent="0.2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5.75" customHeight="1" x14ac:dyDescent="0.2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5.75" customHeight="1" x14ac:dyDescent="0.2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5.75" customHeight="1" x14ac:dyDescent="0.2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5.75" customHeight="1" x14ac:dyDescent="0.2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5.75" customHeight="1" x14ac:dyDescent="0.2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5.75" customHeight="1" x14ac:dyDescent="0.2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5.75" customHeight="1" x14ac:dyDescent="0.2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5.75" customHeight="1" x14ac:dyDescent="0.2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5.75" customHeight="1" x14ac:dyDescent="0.2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5.75" customHeight="1" x14ac:dyDescent="0.2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5.75" customHeight="1" x14ac:dyDescent="0.2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5.75" customHeight="1" x14ac:dyDescent="0.2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5.75" customHeight="1" x14ac:dyDescent="0.2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5.75" customHeight="1" x14ac:dyDescent="0.2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5.75" customHeight="1" x14ac:dyDescent="0.2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5.75" customHeight="1" x14ac:dyDescent="0.2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5.75" customHeight="1" x14ac:dyDescent="0.2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5.75" customHeight="1" x14ac:dyDescent="0.2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5.75" customHeight="1" x14ac:dyDescent="0.2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5.75" customHeight="1" x14ac:dyDescent="0.2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5.75" customHeight="1" x14ac:dyDescent="0.2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5.75" customHeight="1" x14ac:dyDescent="0.2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5.75" customHeight="1" x14ac:dyDescent="0.2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5.75" customHeight="1" x14ac:dyDescent="0.2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5.75" customHeight="1" x14ac:dyDescent="0.2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5.75" customHeight="1" x14ac:dyDescent="0.2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5.75" customHeight="1" x14ac:dyDescent="0.2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5.75" customHeight="1" x14ac:dyDescent="0.2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5.75" customHeight="1" x14ac:dyDescent="0.2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5.75" customHeight="1" x14ac:dyDescent="0.2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5.75" customHeight="1" x14ac:dyDescent="0.2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5.75" customHeight="1" x14ac:dyDescent="0.2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5.75" customHeight="1" x14ac:dyDescent="0.2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5.75" customHeight="1" x14ac:dyDescent="0.2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5.75" customHeight="1" x14ac:dyDescent="0.2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5.75" customHeight="1" x14ac:dyDescent="0.2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5.75" customHeight="1" x14ac:dyDescent="0.2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5.75" customHeight="1" x14ac:dyDescent="0.2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5.75" customHeight="1" x14ac:dyDescent="0.2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5.75" customHeight="1" x14ac:dyDescent="0.2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5.75" customHeight="1" x14ac:dyDescent="0.2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5.75" customHeight="1" x14ac:dyDescent="0.2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5.75" customHeight="1" x14ac:dyDescent="0.2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5.75" customHeight="1" x14ac:dyDescent="0.2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5.75" customHeight="1" x14ac:dyDescent="0.2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5.75" customHeight="1" x14ac:dyDescent="0.2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5.75" customHeight="1" x14ac:dyDescent="0.2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5.75" customHeight="1" x14ac:dyDescent="0.2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5.75" customHeight="1" x14ac:dyDescent="0.2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5.75" customHeight="1" x14ac:dyDescent="0.2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5.75" customHeight="1" x14ac:dyDescent="0.2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5.75" customHeight="1" x14ac:dyDescent="0.2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5.75" customHeight="1" x14ac:dyDescent="0.2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5.75" customHeight="1" x14ac:dyDescent="0.2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5.75" customHeight="1" x14ac:dyDescent="0.2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5.75" customHeight="1" x14ac:dyDescent="0.2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5.75" customHeight="1" x14ac:dyDescent="0.2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5.75" customHeight="1" x14ac:dyDescent="0.2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5.75" customHeight="1" x14ac:dyDescent="0.2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5.75" customHeight="1" x14ac:dyDescent="0.2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5.75" customHeight="1" x14ac:dyDescent="0.2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5.75" customHeight="1" x14ac:dyDescent="0.2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5.75" customHeight="1" x14ac:dyDescent="0.2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5.75" customHeight="1" x14ac:dyDescent="0.2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5.75" customHeight="1" x14ac:dyDescent="0.2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5.75" customHeight="1" x14ac:dyDescent="0.2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5.75" customHeight="1" x14ac:dyDescent="0.2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5.75" customHeight="1" x14ac:dyDescent="0.2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5.75" customHeight="1" x14ac:dyDescent="0.2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5.75" customHeight="1" x14ac:dyDescent="0.2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5.75" customHeight="1" x14ac:dyDescent="0.2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5.75" customHeight="1" x14ac:dyDescent="0.2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5.75" customHeight="1" x14ac:dyDescent="0.2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5.75" customHeight="1" x14ac:dyDescent="0.2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5.75" customHeight="1" x14ac:dyDescent="0.2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5.75" customHeight="1" x14ac:dyDescent="0.2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5.75" customHeight="1" x14ac:dyDescent="0.2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5.75" customHeight="1" x14ac:dyDescent="0.2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5.75" customHeight="1" x14ac:dyDescent="0.2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5.75" customHeight="1" x14ac:dyDescent="0.2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5.75" customHeight="1" x14ac:dyDescent="0.2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5.75" customHeight="1" x14ac:dyDescent="0.2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5.75" customHeight="1" x14ac:dyDescent="0.2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5.75" customHeight="1" x14ac:dyDescent="0.2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5.75" customHeight="1" x14ac:dyDescent="0.2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5.75" customHeight="1" x14ac:dyDescent="0.2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5.75" customHeight="1" x14ac:dyDescent="0.2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5.75" customHeight="1" x14ac:dyDescent="0.2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5.75" customHeight="1" x14ac:dyDescent="0.2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5.75" customHeight="1" x14ac:dyDescent="0.2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5.75" customHeight="1" x14ac:dyDescent="0.2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5.75" customHeight="1" x14ac:dyDescent="0.2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5.75" customHeight="1" x14ac:dyDescent="0.2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5.75" customHeight="1" x14ac:dyDescent="0.2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5.75" customHeight="1" x14ac:dyDescent="0.2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5.75" customHeight="1" x14ac:dyDescent="0.2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5.75" customHeight="1" x14ac:dyDescent="0.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5.75" customHeight="1" x14ac:dyDescent="0.2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5.75" customHeight="1" x14ac:dyDescent="0.2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5.75" customHeight="1" x14ac:dyDescent="0.2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5.75" customHeight="1" x14ac:dyDescent="0.2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5.75" customHeight="1" x14ac:dyDescent="0.2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5.75" customHeight="1" x14ac:dyDescent="0.2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5.75" customHeight="1" x14ac:dyDescent="0.2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5.75" customHeight="1" x14ac:dyDescent="0.2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5.75" customHeight="1" x14ac:dyDescent="0.2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5.75" customHeight="1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5.75" customHeight="1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5.75" customHeight="1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5.75" customHeight="1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5.75" customHeight="1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5.75" customHeight="1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5.75" customHeight="1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5.75" customHeight="1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5.75" customHeight="1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5.75" customHeight="1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5.75" customHeight="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5.75" customHeight="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5.75" customHeight="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5.75" customHeight="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5.75" customHeight="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5.75" customHeight="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5.75" customHeight="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5.75" customHeight="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5.75" customHeight="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5.75" customHeight="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5.75" customHeight="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5.75" customHeight="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5.75" customHeight="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5.75" customHeight="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5.75" customHeight="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5.75" customHeight="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5.75" customHeight="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5.75" customHeight="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5.75" customHeight="1" x14ac:dyDescent="0.2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5.75" customHeight="1" x14ac:dyDescent="0.2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5.75" customHeight="1" x14ac:dyDescent="0.2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5.75" customHeight="1" x14ac:dyDescent="0.2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5.75" customHeight="1" x14ac:dyDescent="0.2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5.75" customHeight="1" x14ac:dyDescent="0.2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5.75" customHeight="1" x14ac:dyDescent="0.2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5.75" customHeight="1" x14ac:dyDescent="0.2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5.75" customHeight="1" x14ac:dyDescent="0.2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5.75" customHeight="1" x14ac:dyDescent="0.2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5.75" customHeight="1" x14ac:dyDescent="0.2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5.75" customHeight="1" x14ac:dyDescent="0.2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5.75" customHeight="1" x14ac:dyDescent="0.2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5.75" customHeight="1" x14ac:dyDescent="0.2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5.75" customHeight="1" x14ac:dyDescent="0.2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5.75" customHeight="1" x14ac:dyDescent="0.2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5.75" customHeight="1" x14ac:dyDescent="0.2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5.75" customHeight="1" x14ac:dyDescent="0.2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5.75" customHeight="1" x14ac:dyDescent="0.2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5.75" customHeight="1" x14ac:dyDescent="0.2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5.75" customHeight="1" x14ac:dyDescent="0.2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5.75" customHeight="1" x14ac:dyDescent="0.2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5.75" customHeight="1" x14ac:dyDescent="0.2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5.75" customHeight="1" x14ac:dyDescent="0.2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5.75" customHeight="1" x14ac:dyDescent="0.2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5.75" customHeight="1" x14ac:dyDescent="0.2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5.75" customHeight="1" x14ac:dyDescent="0.2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5.75" customHeight="1" x14ac:dyDescent="0.2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5.75" customHeight="1" x14ac:dyDescent="0.2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5.75" customHeight="1" x14ac:dyDescent="0.2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5.75" customHeight="1" x14ac:dyDescent="0.2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5.75" customHeight="1" x14ac:dyDescent="0.2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5.75" customHeight="1" x14ac:dyDescent="0.2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5.75" customHeight="1" x14ac:dyDescent="0.2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5.75" customHeight="1" x14ac:dyDescent="0.2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5.75" customHeight="1" x14ac:dyDescent="0.2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5.75" customHeight="1" x14ac:dyDescent="0.2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5.75" customHeight="1" x14ac:dyDescent="0.2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5.75" customHeight="1" x14ac:dyDescent="0.2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5.75" customHeight="1" x14ac:dyDescent="0.2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5.75" customHeight="1" x14ac:dyDescent="0.2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5.75" customHeight="1" x14ac:dyDescent="0.2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5.75" customHeight="1" x14ac:dyDescent="0.2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5.75" customHeight="1" x14ac:dyDescent="0.2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5.75" customHeight="1" x14ac:dyDescent="0.2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5.75" customHeight="1" x14ac:dyDescent="0.2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5.75" customHeight="1" x14ac:dyDescent="0.2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5.75" customHeight="1" x14ac:dyDescent="0.2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5.75" customHeight="1" x14ac:dyDescent="0.2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5.75" customHeight="1" x14ac:dyDescent="0.2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5.75" customHeight="1" x14ac:dyDescent="0.2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5.75" customHeight="1" x14ac:dyDescent="0.2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5.75" customHeight="1" x14ac:dyDescent="0.2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5.75" customHeight="1" x14ac:dyDescent="0.2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5.75" customHeight="1" x14ac:dyDescent="0.2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5.75" customHeight="1" x14ac:dyDescent="0.2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5.75" customHeight="1" x14ac:dyDescent="0.2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5.75" customHeight="1" x14ac:dyDescent="0.2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5.75" customHeight="1" x14ac:dyDescent="0.2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5.75" customHeight="1" x14ac:dyDescent="0.2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5.75" customHeight="1" x14ac:dyDescent="0.2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5.75" customHeight="1" x14ac:dyDescent="0.2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5.75" customHeight="1" x14ac:dyDescent="0.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5.75" customHeight="1" x14ac:dyDescent="0.2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5.75" customHeight="1" x14ac:dyDescent="0.2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5.75" customHeight="1" x14ac:dyDescent="0.2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5.75" customHeight="1" x14ac:dyDescent="0.2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5.75" customHeight="1" x14ac:dyDescent="0.2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5.75" customHeight="1" x14ac:dyDescent="0.2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5.75" customHeight="1" x14ac:dyDescent="0.2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5.75" customHeight="1" x14ac:dyDescent="0.2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5.75" customHeight="1" x14ac:dyDescent="0.2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5.75" customHeight="1" x14ac:dyDescent="0.2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5.75" customHeight="1" x14ac:dyDescent="0.2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5.75" customHeight="1" x14ac:dyDescent="0.2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5.75" customHeight="1" x14ac:dyDescent="0.2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5.75" customHeight="1" x14ac:dyDescent="0.2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5.75" customHeight="1" x14ac:dyDescent="0.2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5.75" customHeight="1" x14ac:dyDescent="0.2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5.75" customHeight="1" x14ac:dyDescent="0.2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5.75" customHeight="1" x14ac:dyDescent="0.2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5.75" customHeight="1" x14ac:dyDescent="0.2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5.75" customHeight="1" x14ac:dyDescent="0.2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5.75" customHeight="1" x14ac:dyDescent="0.2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5.75" customHeight="1" x14ac:dyDescent="0.2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5.75" customHeight="1" x14ac:dyDescent="0.2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5.75" customHeight="1" x14ac:dyDescent="0.2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5.75" customHeight="1" x14ac:dyDescent="0.2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5.75" customHeight="1" x14ac:dyDescent="0.2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5.75" customHeight="1" x14ac:dyDescent="0.2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5.75" customHeight="1" x14ac:dyDescent="0.2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5.75" customHeight="1" x14ac:dyDescent="0.2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5.75" customHeight="1" x14ac:dyDescent="0.2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5.75" customHeight="1" x14ac:dyDescent="0.2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5.75" customHeight="1" x14ac:dyDescent="0.2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5.75" customHeight="1" x14ac:dyDescent="0.2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5.75" customHeight="1" x14ac:dyDescent="0.2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5.75" customHeight="1" x14ac:dyDescent="0.2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5.75" customHeight="1" x14ac:dyDescent="0.2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5.75" customHeight="1" x14ac:dyDescent="0.2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5.75" customHeight="1" x14ac:dyDescent="0.2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5.75" customHeight="1" x14ac:dyDescent="0.2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5.75" customHeight="1" x14ac:dyDescent="0.2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5.75" customHeight="1" x14ac:dyDescent="0.2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5.75" customHeight="1" x14ac:dyDescent="0.2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5.75" customHeight="1" x14ac:dyDescent="0.2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5.75" customHeight="1" x14ac:dyDescent="0.2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5.75" customHeight="1" x14ac:dyDescent="0.2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5.75" customHeight="1" x14ac:dyDescent="0.2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5.75" customHeight="1" x14ac:dyDescent="0.2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5.75" customHeight="1" x14ac:dyDescent="0.2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5.75" customHeight="1" x14ac:dyDescent="0.2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5.75" customHeight="1" x14ac:dyDescent="0.2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5.75" customHeight="1" x14ac:dyDescent="0.2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5.75" customHeight="1" x14ac:dyDescent="0.2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5.75" customHeight="1" x14ac:dyDescent="0.2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5.75" customHeight="1" x14ac:dyDescent="0.2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5.75" customHeight="1" x14ac:dyDescent="0.2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5.75" customHeight="1" x14ac:dyDescent="0.2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5.75" customHeight="1" x14ac:dyDescent="0.2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5.75" customHeight="1" x14ac:dyDescent="0.2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5.75" customHeight="1" x14ac:dyDescent="0.2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5.75" customHeight="1" x14ac:dyDescent="0.2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5.75" customHeight="1" x14ac:dyDescent="0.2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5.75" customHeight="1" x14ac:dyDescent="0.2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5.75" customHeight="1" x14ac:dyDescent="0.2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5.75" customHeight="1" x14ac:dyDescent="0.2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5.75" customHeight="1" x14ac:dyDescent="0.2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5.75" customHeight="1" x14ac:dyDescent="0.2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5.75" customHeight="1" x14ac:dyDescent="0.2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5.75" customHeight="1" x14ac:dyDescent="0.2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5.75" customHeight="1" x14ac:dyDescent="0.2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5.75" customHeight="1" x14ac:dyDescent="0.2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5.75" customHeight="1" x14ac:dyDescent="0.2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5.75" customHeight="1" x14ac:dyDescent="0.2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5.75" customHeight="1" x14ac:dyDescent="0.2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5.75" customHeight="1" x14ac:dyDescent="0.2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5.75" customHeight="1" x14ac:dyDescent="0.2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5.75" customHeight="1" x14ac:dyDescent="0.2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5.75" customHeight="1" x14ac:dyDescent="0.2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5.75" customHeight="1" x14ac:dyDescent="0.2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5.75" customHeight="1" x14ac:dyDescent="0.2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5.75" customHeight="1" x14ac:dyDescent="0.2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5.75" customHeight="1" x14ac:dyDescent="0.2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5.75" customHeight="1" x14ac:dyDescent="0.2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5.75" customHeight="1" x14ac:dyDescent="0.2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5.75" customHeight="1" x14ac:dyDescent="0.2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5.75" customHeight="1" x14ac:dyDescent="0.2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5.75" customHeight="1" x14ac:dyDescent="0.2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5.75" customHeight="1" x14ac:dyDescent="0.2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5.75" customHeight="1" x14ac:dyDescent="0.2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5.75" customHeight="1" x14ac:dyDescent="0.2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5.75" customHeight="1" x14ac:dyDescent="0.2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5.75" customHeight="1" x14ac:dyDescent="0.2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5.75" customHeight="1" x14ac:dyDescent="0.2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5.75" customHeight="1" x14ac:dyDescent="0.2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5.75" customHeight="1" x14ac:dyDescent="0.2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5.75" customHeight="1" x14ac:dyDescent="0.2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5.75" customHeight="1" x14ac:dyDescent="0.2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5.75" customHeight="1" x14ac:dyDescent="0.2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5.75" customHeight="1" x14ac:dyDescent="0.2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5.75" customHeight="1" x14ac:dyDescent="0.2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5.75" customHeight="1" x14ac:dyDescent="0.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5.75" customHeight="1" x14ac:dyDescent="0.2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5.75" customHeight="1" x14ac:dyDescent="0.2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5.75" customHeight="1" x14ac:dyDescent="0.2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5.75" customHeight="1" x14ac:dyDescent="0.2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5.75" customHeight="1" x14ac:dyDescent="0.2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5.75" customHeight="1" x14ac:dyDescent="0.2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5.75" customHeight="1" x14ac:dyDescent="0.2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5.75" customHeight="1" x14ac:dyDescent="0.2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5.75" customHeight="1" x14ac:dyDescent="0.2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5.75" customHeight="1" x14ac:dyDescent="0.2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5.75" customHeight="1" x14ac:dyDescent="0.2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5.75" customHeight="1" x14ac:dyDescent="0.2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5.75" customHeight="1" x14ac:dyDescent="0.2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5.75" customHeight="1" x14ac:dyDescent="0.2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5.75" customHeight="1" x14ac:dyDescent="0.2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5.75" customHeight="1" x14ac:dyDescent="0.2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5.75" customHeight="1" x14ac:dyDescent="0.2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5.75" customHeight="1" x14ac:dyDescent="0.2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5.75" customHeight="1" x14ac:dyDescent="0.2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5.75" customHeight="1" x14ac:dyDescent="0.2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5.75" customHeight="1" x14ac:dyDescent="0.2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5.75" customHeight="1" x14ac:dyDescent="0.2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5.75" customHeight="1" x14ac:dyDescent="0.2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5.75" customHeight="1" x14ac:dyDescent="0.2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5.75" customHeight="1" x14ac:dyDescent="0.2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5.75" customHeight="1" x14ac:dyDescent="0.2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5.75" customHeight="1" x14ac:dyDescent="0.2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5.75" customHeight="1" x14ac:dyDescent="0.2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5.75" customHeight="1" x14ac:dyDescent="0.2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5.75" customHeight="1" x14ac:dyDescent="0.2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5.75" customHeight="1" x14ac:dyDescent="0.2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5.75" customHeight="1" x14ac:dyDescent="0.2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5.75" customHeight="1" x14ac:dyDescent="0.2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5.75" customHeight="1" x14ac:dyDescent="0.2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5.75" customHeight="1" x14ac:dyDescent="0.2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5.75" customHeight="1" x14ac:dyDescent="0.2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5.75" customHeight="1" x14ac:dyDescent="0.2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5.75" customHeight="1" x14ac:dyDescent="0.2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5.75" customHeight="1" x14ac:dyDescent="0.2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5.75" customHeight="1" x14ac:dyDescent="0.2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5.75" customHeight="1" x14ac:dyDescent="0.2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5.75" customHeight="1" x14ac:dyDescent="0.2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5.75" customHeight="1" x14ac:dyDescent="0.2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5.75" customHeight="1" x14ac:dyDescent="0.2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5.75" customHeight="1" x14ac:dyDescent="0.2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5.75" customHeight="1" x14ac:dyDescent="0.2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5.75" customHeight="1" x14ac:dyDescent="0.2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5.75" customHeight="1" x14ac:dyDescent="0.2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5.75" customHeight="1" x14ac:dyDescent="0.2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5.75" customHeight="1" x14ac:dyDescent="0.2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5.75" customHeight="1" x14ac:dyDescent="0.2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5.75" customHeight="1" x14ac:dyDescent="0.2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5.75" customHeight="1" x14ac:dyDescent="0.2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5.75" customHeight="1" x14ac:dyDescent="0.2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5.75" customHeight="1" x14ac:dyDescent="0.2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5.75" customHeight="1" x14ac:dyDescent="0.2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5.75" customHeight="1" x14ac:dyDescent="0.2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5.75" customHeight="1" x14ac:dyDescent="0.2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5.75" customHeight="1" x14ac:dyDescent="0.2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5.75" customHeight="1" x14ac:dyDescent="0.2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5.75" customHeight="1" x14ac:dyDescent="0.2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5.75" customHeight="1" x14ac:dyDescent="0.2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5.75" customHeight="1" x14ac:dyDescent="0.2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5.75" customHeight="1" x14ac:dyDescent="0.2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5.75" customHeight="1" x14ac:dyDescent="0.2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5.75" customHeight="1" x14ac:dyDescent="0.2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5.75" customHeight="1" x14ac:dyDescent="0.2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5.75" customHeight="1" x14ac:dyDescent="0.2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5.75" customHeight="1" x14ac:dyDescent="0.2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5.75" customHeight="1" x14ac:dyDescent="0.2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5.75" customHeight="1" x14ac:dyDescent="0.2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5.75" customHeight="1" x14ac:dyDescent="0.2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5.75" customHeight="1" x14ac:dyDescent="0.2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5.75" customHeight="1" x14ac:dyDescent="0.2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5.75" customHeight="1" x14ac:dyDescent="0.2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5.75" customHeight="1" x14ac:dyDescent="0.2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5.75" customHeight="1" x14ac:dyDescent="0.2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5.75" customHeight="1" x14ac:dyDescent="0.2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5.75" customHeight="1" x14ac:dyDescent="0.2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5.75" customHeight="1" x14ac:dyDescent="0.2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5.75" customHeight="1" x14ac:dyDescent="0.2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5.75" customHeight="1" x14ac:dyDescent="0.2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5.75" customHeight="1" x14ac:dyDescent="0.2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5.75" customHeight="1" x14ac:dyDescent="0.2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5.75" customHeight="1" x14ac:dyDescent="0.2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5.75" customHeight="1" x14ac:dyDescent="0.2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5.75" customHeight="1" x14ac:dyDescent="0.2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5.75" customHeight="1" x14ac:dyDescent="0.2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5.75" customHeight="1" x14ac:dyDescent="0.2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5.75" customHeight="1" x14ac:dyDescent="0.2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5.75" customHeight="1" x14ac:dyDescent="0.2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5.75" customHeight="1" x14ac:dyDescent="0.2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5.75" customHeight="1" x14ac:dyDescent="0.2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5.75" customHeight="1" x14ac:dyDescent="0.2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5.75" customHeight="1" x14ac:dyDescent="0.2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5.75" customHeight="1" x14ac:dyDescent="0.2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5.75" customHeight="1" x14ac:dyDescent="0.2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5.75" customHeight="1" x14ac:dyDescent="0.2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5.75" customHeight="1" x14ac:dyDescent="0.2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5.75" customHeight="1" x14ac:dyDescent="0.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5.75" customHeight="1" x14ac:dyDescent="0.2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5.75" customHeight="1" x14ac:dyDescent="0.2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5.75" customHeight="1" x14ac:dyDescent="0.2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5.75" customHeight="1" x14ac:dyDescent="0.2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5.75" customHeight="1" x14ac:dyDescent="0.2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5.75" customHeight="1" x14ac:dyDescent="0.2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5.75" customHeight="1" x14ac:dyDescent="0.2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5.75" customHeight="1" x14ac:dyDescent="0.2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5.75" customHeight="1" x14ac:dyDescent="0.2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5.75" customHeight="1" x14ac:dyDescent="0.2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5.75" customHeight="1" x14ac:dyDescent="0.2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5.75" customHeight="1" x14ac:dyDescent="0.2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5.75" customHeight="1" x14ac:dyDescent="0.2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5.75" customHeight="1" x14ac:dyDescent="0.2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5.75" customHeight="1" x14ac:dyDescent="0.2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5.75" customHeight="1" x14ac:dyDescent="0.2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5.75" customHeight="1" x14ac:dyDescent="0.2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5.75" customHeight="1" x14ac:dyDescent="0.2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5.75" customHeight="1" x14ac:dyDescent="0.2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5.75" customHeight="1" x14ac:dyDescent="0.2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5.75" customHeight="1" x14ac:dyDescent="0.2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5.75" customHeight="1" x14ac:dyDescent="0.2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5.75" customHeight="1" x14ac:dyDescent="0.2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5.75" customHeight="1" x14ac:dyDescent="0.2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5.75" customHeight="1" x14ac:dyDescent="0.2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5.75" customHeight="1" x14ac:dyDescent="0.2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5.75" customHeight="1" x14ac:dyDescent="0.2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5.75" customHeight="1" x14ac:dyDescent="0.2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5.75" customHeight="1" x14ac:dyDescent="0.2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5.75" customHeight="1" x14ac:dyDescent="0.2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5.75" customHeight="1" x14ac:dyDescent="0.2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5.75" customHeight="1" x14ac:dyDescent="0.2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5.75" customHeight="1" x14ac:dyDescent="0.2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5.75" customHeight="1" x14ac:dyDescent="0.2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5.75" customHeight="1" x14ac:dyDescent="0.2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5.75" customHeight="1" x14ac:dyDescent="0.2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5.75" customHeight="1" x14ac:dyDescent="0.2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5.75" customHeight="1" x14ac:dyDescent="0.2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5.75" customHeight="1" x14ac:dyDescent="0.2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5.75" customHeight="1" x14ac:dyDescent="0.2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5.75" customHeight="1" x14ac:dyDescent="0.2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5.75" customHeight="1" x14ac:dyDescent="0.2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5.75" customHeight="1" x14ac:dyDescent="0.2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5.75" customHeight="1" x14ac:dyDescent="0.2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5.75" customHeight="1" x14ac:dyDescent="0.2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5.75" customHeight="1" x14ac:dyDescent="0.2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5.75" customHeight="1" x14ac:dyDescent="0.2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5.75" customHeight="1" x14ac:dyDescent="0.2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5.75" customHeight="1" x14ac:dyDescent="0.2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5.75" customHeight="1" x14ac:dyDescent="0.2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5.75" customHeight="1" x14ac:dyDescent="0.2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5.75" customHeight="1" x14ac:dyDescent="0.2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5.75" customHeight="1" x14ac:dyDescent="0.2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5.75" customHeight="1" x14ac:dyDescent="0.2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5.75" customHeight="1" x14ac:dyDescent="0.2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5.75" customHeight="1" x14ac:dyDescent="0.2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5.75" customHeight="1" x14ac:dyDescent="0.2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5.75" customHeight="1" x14ac:dyDescent="0.2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5.75" customHeight="1" x14ac:dyDescent="0.2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5.75" customHeight="1" x14ac:dyDescent="0.2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5.75" customHeight="1" x14ac:dyDescent="0.2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5.75" customHeight="1" x14ac:dyDescent="0.2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5.75" customHeight="1" x14ac:dyDescent="0.2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5.75" customHeight="1" x14ac:dyDescent="0.2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5.75" customHeight="1" x14ac:dyDescent="0.2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5.75" customHeight="1" x14ac:dyDescent="0.2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5.75" customHeight="1" x14ac:dyDescent="0.2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5.75" customHeight="1" x14ac:dyDescent="0.2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5.75" customHeight="1" x14ac:dyDescent="0.2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5.75" customHeight="1" x14ac:dyDescent="0.2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5.75" customHeight="1" x14ac:dyDescent="0.2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5.75" customHeight="1" x14ac:dyDescent="0.2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5.75" customHeight="1" x14ac:dyDescent="0.2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5.75" customHeight="1" x14ac:dyDescent="0.2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5.75" customHeight="1" x14ac:dyDescent="0.2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5.75" customHeight="1" x14ac:dyDescent="0.2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5.75" customHeight="1" x14ac:dyDescent="0.2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5.75" customHeight="1" x14ac:dyDescent="0.2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5.75" customHeight="1" x14ac:dyDescent="0.2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5.75" customHeight="1" x14ac:dyDescent="0.2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5.75" customHeight="1" x14ac:dyDescent="0.2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5.75" customHeight="1" x14ac:dyDescent="0.2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5.75" customHeight="1" x14ac:dyDescent="0.2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5.75" customHeight="1" x14ac:dyDescent="0.2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5.75" customHeight="1" x14ac:dyDescent="0.2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5.75" customHeight="1" x14ac:dyDescent="0.2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5.75" customHeight="1" x14ac:dyDescent="0.2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5.75" customHeight="1" x14ac:dyDescent="0.2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5.75" customHeight="1" x14ac:dyDescent="0.2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5.75" customHeight="1" x14ac:dyDescent="0.2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5.75" customHeight="1" x14ac:dyDescent="0.2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5.75" customHeight="1" x14ac:dyDescent="0.2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5.75" customHeight="1" x14ac:dyDescent="0.2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5.75" customHeight="1" x14ac:dyDescent="0.2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5.75" customHeight="1" x14ac:dyDescent="0.2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5.75" customHeight="1" x14ac:dyDescent="0.2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5.75" customHeight="1" x14ac:dyDescent="0.2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5.75" customHeight="1" x14ac:dyDescent="0.2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5.75" customHeight="1" x14ac:dyDescent="0.2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5.75" customHeight="1" x14ac:dyDescent="0.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5.75" customHeight="1" x14ac:dyDescent="0.2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5.75" customHeight="1" x14ac:dyDescent="0.2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5.75" customHeight="1" x14ac:dyDescent="0.2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5.75" customHeight="1" x14ac:dyDescent="0.2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5.75" customHeight="1" x14ac:dyDescent="0.2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5.75" customHeight="1" x14ac:dyDescent="0.2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5.75" customHeight="1" x14ac:dyDescent="0.2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5.75" customHeight="1" x14ac:dyDescent="0.2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5.75" customHeight="1" x14ac:dyDescent="0.2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5.75" customHeight="1" x14ac:dyDescent="0.2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5.75" customHeight="1" x14ac:dyDescent="0.2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5.75" customHeight="1" x14ac:dyDescent="0.2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5.75" customHeight="1" x14ac:dyDescent="0.2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5.75" customHeight="1" x14ac:dyDescent="0.2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5.75" customHeight="1" x14ac:dyDescent="0.2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5.75" customHeight="1" x14ac:dyDescent="0.2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5.75" customHeight="1" x14ac:dyDescent="0.2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5.75" customHeight="1" x14ac:dyDescent="0.2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5.75" customHeight="1" x14ac:dyDescent="0.2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5.75" customHeight="1" x14ac:dyDescent="0.2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5.75" customHeight="1" x14ac:dyDescent="0.2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5.75" customHeight="1" x14ac:dyDescent="0.2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5.75" customHeight="1" x14ac:dyDescent="0.2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5.75" customHeight="1" x14ac:dyDescent="0.2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5.75" customHeight="1" x14ac:dyDescent="0.2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5.75" customHeight="1" x14ac:dyDescent="0.2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5.75" customHeight="1" x14ac:dyDescent="0.2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5.75" customHeight="1" x14ac:dyDescent="0.2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5.75" customHeight="1" x14ac:dyDescent="0.2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5.75" customHeight="1" x14ac:dyDescent="0.2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5.75" customHeight="1" x14ac:dyDescent="0.2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5.75" customHeight="1" x14ac:dyDescent="0.2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5.75" customHeight="1" x14ac:dyDescent="0.2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5.75" customHeight="1" x14ac:dyDescent="0.2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5.75" customHeight="1" x14ac:dyDescent="0.2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5.75" customHeight="1" x14ac:dyDescent="0.2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5.75" customHeight="1" x14ac:dyDescent="0.2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5.75" customHeight="1" x14ac:dyDescent="0.2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5.75" customHeight="1" x14ac:dyDescent="0.2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5.75" customHeight="1" x14ac:dyDescent="0.2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5.75" customHeight="1" x14ac:dyDescent="0.2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5.75" customHeight="1" x14ac:dyDescent="0.2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5.75" customHeight="1" x14ac:dyDescent="0.2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5.75" customHeight="1" x14ac:dyDescent="0.2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5.75" customHeight="1" x14ac:dyDescent="0.2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5.75" customHeight="1" x14ac:dyDescent="0.2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5.75" customHeight="1" x14ac:dyDescent="0.2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5.75" customHeight="1" x14ac:dyDescent="0.2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5.75" customHeight="1" x14ac:dyDescent="0.2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5.75" customHeight="1" x14ac:dyDescent="0.2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5.75" customHeight="1" x14ac:dyDescent="0.2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5.75" customHeight="1" x14ac:dyDescent="0.2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5.75" customHeight="1" x14ac:dyDescent="0.2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5.75" customHeight="1" x14ac:dyDescent="0.2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5.75" customHeight="1" x14ac:dyDescent="0.2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5.75" customHeight="1" x14ac:dyDescent="0.2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5.75" customHeight="1" x14ac:dyDescent="0.2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5.75" customHeight="1" x14ac:dyDescent="0.2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5.75" customHeight="1" x14ac:dyDescent="0.2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5.75" customHeight="1" x14ac:dyDescent="0.2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5.75" customHeight="1" x14ac:dyDescent="0.2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5.75" customHeight="1" x14ac:dyDescent="0.2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5.75" customHeight="1" x14ac:dyDescent="0.2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5.75" customHeight="1" x14ac:dyDescent="0.2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5.75" customHeight="1" x14ac:dyDescent="0.2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5.75" customHeight="1" x14ac:dyDescent="0.2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5.75" customHeight="1" x14ac:dyDescent="0.2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5.75" customHeight="1" x14ac:dyDescent="0.2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 ht="15.75" customHeight="1" x14ac:dyDescent="0.2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 ht="15.75" customHeight="1" x14ac:dyDescent="0.2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 ht="15.75" customHeight="1" x14ac:dyDescent="0.2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 ht="15.75" customHeight="1" x14ac:dyDescent="0.2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 ht="15.75" customHeight="1" x14ac:dyDescent="0.2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 ht="15.75" customHeight="1" x14ac:dyDescent="0.2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 ht="15.75" customHeight="1" x14ac:dyDescent="0.2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7">
    <mergeCell ref="A33:E33"/>
    <mergeCell ref="G33:L33"/>
    <mergeCell ref="A36:A39"/>
    <mergeCell ref="B36:B39"/>
    <mergeCell ref="C36:C37"/>
    <mergeCell ref="C38:C39"/>
    <mergeCell ref="E38:E39"/>
  </mergeCells>
  <hyperlinks>
    <hyperlink ref="G34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9.85546875" customWidth="1"/>
    <col min="3" max="3" width="38.140625" customWidth="1"/>
    <col min="4" max="12" width="8.5703125" customWidth="1"/>
    <col min="13" max="13" width="15.28515625" customWidth="1"/>
    <col min="14" max="14" width="15.140625" customWidth="1"/>
    <col min="15" max="26" width="12.5703125" customWidth="1"/>
  </cols>
  <sheetData>
    <row r="1" spans="1:26" ht="14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7" customHeight="1" x14ac:dyDescent="0.35">
      <c r="A2" s="175" t="s">
        <v>475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" customHeight="1" x14ac:dyDescent="0.25">
      <c r="A3" s="178" t="s">
        <v>476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42" customHeight="1" x14ac:dyDescent="0.25">
      <c r="A4" s="179" t="s">
        <v>477</v>
      </c>
      <c r="B4" s="176"/>
      <c r="C4" s="177"/>
      <c r="D4" s="180" t="s">
        <v>478</v>
      </c>
      <c r="E4" s="176"/>
      <c r="F4" s="176"/>
      <c r="G4" s="176"/>
      <c r="H4" s="176"/>
      <c r="I4" s="176"/>
      <c r="J4" s="176"/>
      <c r="K4" s="176"/>
      <c r="L4" s="177"/>
      <c r="M4" s="181" t="s">
        <v>479</v>
      </c>
      <c r="N4" s="182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.75" customHeight="1" x14ac:dyDescent="0.25">
      <c r="A5" s="189" t="s">
        <v>480</v>
      </c>
      <c r="B5" s="176"/>
      <c r="C5" s="177"/>
      <c r="D5" s="187"/>
      <c r="E5" s="176"/>
      <c r="F5" s="176"/>
      <c r="G5" s="176"/>
      <c r="H5" s="176"/>
      <c r="I5" s="177"/>
      <c r="J5" s="188"/>
      <c r="K5" s="176"/>
      <c r="L5" s="177"/>
      <c r="M5" s="183"/>
      <c r="N5" s="184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2.5" customHeight="1" x14ac:dyDescent="0.25">
      <c r="A6" s="190" t="s">
        <v>481</v>
      </c>
      <c r="B6" s="176"/>
      <c r="C6" s="177"/>
      <c r="D6" s="194"/>
      <c r="E6" s="176"/>
      <c r="F6" s="176"/>
      <c r="G6" s="176"/>
      <c r="H6" s="176"/>
      <c r="I6" s="177"/>
      <c r="J6" s="188"/>
      <c r="K6" s="176"/>
      <c r="L6" s="177"/>
      <c r="M6" s="185"/>
      <c r="N6" s="18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7.75" customHeight="1" x14ac:dyDescent="0.3">
      <c r="A7" s="108" t="s">
        <v>482</v>
      </c>
      <c r="B7" s="109" t="s">
        <v>483</v>
      </c>
      <c r="C7" s="109" t="s">
        <v>484</v>
      </c>
      <c r="D7" s="195" t="s">
        <v>485</v>
      </c>
      <c r="E7" s="176"/>
      <c r="F7" s="176"/>
      <c r="G7" s="176"/>
      <c r="H7" s="176"/>
      <c r="I7" s="176"/>
      <c r="J7" s="176"/>
      <c r="K7" s="176"/>
      <c r="L7" s="177"/>
      <c r="M7" s="110" t="s">
        <v>486</v>
      </c>
      <c r="N7" s="110" t="s">
        <v>487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 x14ac:dyDescent="0.25">
      <c r="A8" s="111"/>
      <c r="B8" s="112"/>
      <c r="C8" s="113"/>
      <c r="D8" s="114"/>
      <c r="E8" s="115">
        <v>4</v>
      </c>
      <c r="F8" s="115">
        <v>8</v>
      </c>
      <c r="G8" s="115">
        <v>12</v>
      </c>
      <c r="H8" s="115">
        <v>16</v>
      </c>
      <c r="I8" s="115">
        <v>20</v>
      </c>
      <c r="J8" s="115">
        <v>24</v>
      </c>
      <c r="K8" s="115">
        <v>28</v>
      </c>
      <c r="L8" s="115">
        <v>32</v>
      </c>
      <c r="M8" s="116"/>
      <c r="N8" s="1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 x14ac:dyDescent="0.25">
      <c r="A9" s="193">
        <v>1</v>
      </c>
      <c r="B9" s="198" t="s">
        <v>488</v>
      </c>
      <c r="C9" s="191" t="s">
        <v>489</v>
      </c>
      <c r="D9" s="118" t="s">
        <v>490</v>
      </c>
      <c r="E9" s="119"/>
      <c r="F9" s="120"/>
      <c r="G9" s="120"/>
      <c r="H9" s="120"/>
      <c r="I9" s="120"/>
      <c r="J9" s="120"/>
      <c r="K9" s="120"/>
      <c r="L9" s="120"/>
      <c r="M9" s="121" t="s">
        <v>491</v>
      </c>
      <c r="N9" s="121" t="s">
        <v>492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 x14ac:dyDescent="0.25">
      <c r="A10" s="192"/>
      <c r="B10" s="197"/>
      <c r="C10" s="192"/>
      <c r="D10" s="118" t="s">
        <v>493</v>
      </c>
      <c r="E10" s="122"/>
      <c r="F10" s="117"/>
      <c r="G10" s="117"/>
      <c r="H10" s="117"/>
      <c r="I10" s="117"/>
      <c r="J10" s="117"/>
      <c r="K10" s="117"/>
      <c r="L10" s="117"/>
      <c r="M10" s="121" t="s">
        <v>491</v>
      </c>
      <c r="N10" s="121" t="s">
        <v>492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25">
      <c r="A11" s="193">
        <v>2</v>
      </c>
      <c r="B11" s="197"/>
      <c r="C11" s="191" t="s">
        <v>494</v>
      </c>
      <c r="D11" s="118" t="s">
        <v>490</v>
      </c>
      <c r="E11" s="123"/>
      <c r="F11" s="124"/>
      <c r="G11" s="124"/>
      <c r="H11" s="124"/>
      <c r="I11" s="124"/>
      <c r="J11" s="124"/>
      <c r="K11" s="124"/>
      <c r="L11" s="124"/>
      <c r="M11" s="121" t="s">
        <v>491</v>
      </c>
      <c r="N11" s="121" t="s">
        <v>492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 x14ac:dyDescent="0.25">
      <c r="A12" s="192"/>
      <c r="B12" s="192"/>
      <c r="C12" s="192"/>
      <c r="D12" s="118" t="s">
        <v>493</v>
      </c>
      <c r="E12" s="125"/>
      <c r="F12" s="124"/>
      <c r="G12" s="124"/>
      <c r="H12" s="124"/>
      <c r="I12" s="124"/>
      <c r="J12" s="124"/>
      <c r="K12" s="124"/>
      <c r="L12" s="124"/>
      <c r="M12" s="121" t="s">
        <v>491</v>
      </c>
      <c r="N12" s="121" t="s">
        <v>492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25">
      <c r="A13" s="193">
        <v>3</v>
      </c>
      <c r="B13" s="198" t="s">
        <v>495</v>
      </c>
      <c r="C13" s="191" t="s">
        <v>496</v>
      </c>
      <c r="D13" s="118" t="s">
        <v>490</v>
      </c>
      <c r="E13" s="124"/>
      <c r="F13" s="126"/>
      <c r="G13" s="124"/>
      <c r="H13" s="124"/>
      <c r="I13" s="124"/>
      <c r="J13" s="124"/>
      <c r="K13" s="124"/>
      <c r="L13" s="124"/>
      <c r="M13" s="121" t="s">
        <v>497</v>
      </c>
      <c r="N13" s="121" t="s">
        <v>498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25">
      <c r="A14" s="192"/>
      <c r="B14" s="192"/>
      <c r="C14" s="192"/>
      <c r="D14" s="118" t="s">
        <v>493</v>
      </c>
      <c r="E14" s="124"/>
      <c r="F14" s="127"/>
      <c r="G14" s="124"/>
      <c r="H14" s="124"/>
      <c r="I14" s="124"/>
      <c r="J14" s="124"/>
      <c r="K14" s="124"/>
      <c r="L14" s="124"/>
      <c r="M14" s="121" t="s">
        <v>497</v>
      </c>
      <c r="N14" s="121" t="s">
        <v>498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199">
        <v>4</v>
      </c>
      <c r="B15" s="198" t="s">
        <v>499</v>
      </c>
      <c r="C15" s="191" t="s">
        <v>500</v>
      </c>
      <c r="D15" s="118" t="s">
        <v>490</v>
      </c>
      <c r="E15" s="124"/>
      <c r="F15" s="124"/>
      <c r="G15" s="126"/>
      <c r="H15" s="124"/>
      <c r="I15" s="124"/>
      <c r="J15" s="124"/>
      <c r="K15" s="124"/>
      <c r="L15" s="124"/>
      <c r="M15" s="121" t="s">
        <v>501</v>
      </c>
      <c r="N15" s="128">
        <v>45722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192"/>
      <c r="B16" s="197"/>
      <c r="C16" s="192"/>
      <c r="D16" s="118" t="s">
        <v>493</v>
      </c>
      <c r="E16" s="124"/>
      <c r="F16" s="129"/>
      <c r="G16" s="127"/>
      <c r="H16" s="124"/>
      <c r="I16" s="124"/>
      <c r="J16" s="124"/>
      <c r="K16" s="124"/>
      <c r="L16" s="124"/>
      <c r="M16" s="130"/>
      <c r="N16" s="130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199">
        <v>5</v>
      </c>
      <c r="B17" s="197"/>
      <c r="C17" s="191" t="s">
        <v>502</v>
      </c>
      <c r="D17" s="118" t="s">
        <v>490</v>
      </c>
      <c r="E17" s="124"/>
      <c r="F17" s="124"/>
      <c r="G17" s="126"/>
      <c r="H17" s="124"/>
      <c r="I17" s="124"/>
      <c r="J17" s="124"/>
      <c r="K17" s="124"/>
      <c r="L17" s="124"/>
      <c r="M17" s="121" t="s">
        <v>501</v>
      </c>
      <c r="N17" s="128">
        <v>45691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192"/>
      <c r="B18" s="192"/>
      <c r="C18" s="192"/>
      <c r="D18" s="118" t="s">
        <v>493</v>
      </c>
      <c r="E18" s="124"/>
      <c r="F18" s="129"/>
      <c r="G18" s="129"/>
      <c r="H18" s="124"/>
      <c r="I18" s="124"/>
      <c r="J18" s="124"/>
      <c r="K18" s="124"/>
      <c r="L18" s="124"/>
      <c r="M18" s="130"/>
      <c r="N18" s="130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199">
        <v>6</v>
      </c>
      <c r="B19" s="198" t="s">
        <v>503</v>
      </c>
      <c r="C19" s="191" t="s">
        <v>504</v>
      </c>
      <c r="D19" s="118" t="s">
        <v>490</v>
      </c>
      <c r="E19" s="124"/>
      <c r="F19" s="124"/>
      <c r="G19" s="124"/>
      <c r="H19" s="126"/>
      <c r="I19" s="126"/>
      <c r="J19" s="124"/>
      <c r="K19" s="124"/>
      <c r="L19" s="124"/>
      <c r="M19" s="128">
        <v>45749</v>
      </c>
      <c r="N19" s="121" t="s">
        <v>505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92"/>
      <c r="B20" s="197"/>
      <c r="C20" s="192"/>
      <c r="D20" s="118" t="s">
        <v>493</v>
      </c>
      <c r="E20" s="124"/>
      <c r="F20" s="124"/>
      <c r="G20" s="124"/>
      <c r="H20" s="127"/>
      <c r="I20" s="127"/>
      <c r="J20" s="124"/>
      <c r="K20" s="124"/>
      <c r="L20" s="124"/>
      <c r="M20" s="130"/>
      <c r="N20" s="130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99">
        <v>7</v>
      </c>
      <c r="B21" s="197"/>
      <c r="C21" s="191" t="s">
        <v>506</v>
      </c>
      <c r="D21" s="118" t="s">
        <v>490</v>
      </c>
      <c r="E21" s="124"/>
      <c r="F21" s="124"/>
      <c r="G21" s="124"/>
      <c r="H21" s="126"/>
      <c r="I21" s="126"/>
      <c r="J21" s="124"/>
      <c r="K21" s="124"/>
      <c r="L21" s="124"/>
      <c r="M21" s="128">
        <v>45749</v>
      </c>
      <c r="N21" s="121" t="s">
        <v>505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92"/>
      <c r="B22" s="192"/>
      <c r="C22" s="192"/>
      <c r="D22" s="118" t="s">
        <v>493</v>
      </c>
      <c r="E22" s="124"/>
      <c r="F22" s="124"/>
      <c r="G22" s="124"/>
      <c r="H22" s="127"/>
      <c r="I22" s="127"/>
      <c r="J22" s="124"/>
      <c r="K22" s="124"/>
      <c r="L22" s="124"/>
      <c r="M22" s="130"/>
      <c r="N22" s="130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93">
        <v>8</v>
      </c>
      <c r="B23" s="196" t="s">
        <v>507</v>
      </c>
      <c r="C23" s="131" t="s">
        <v>508</v>
      </c>
      <c r="D23" s="118" t="s">
        <v>490</v>
      </c>
      <c r="E23" s="124"/>
      <c r="F23" s="124"/>
      <c r="G23" s="124"/>
      <c r="H23" s="124"/>
      <c r="I23" s="129"/>
      <c r="J23" s="126"/>
      <c r="K23" s="124"/>
      <c r="L23" s="124"/>
      <c r="M23" s="121" t="s">
        <v>509</v>
      </c>
      <c r="N23" s="121" t="s">
        <v>510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92"/>
      <c r="B24" s="197"/>
      <c r="C24" s="117"/>
      <c r="D24" s="118" t="s">
        <v>493</v>
      </c>
      <c r="E24" s="124"/>
      <c r="F24" s="124"/>
      <c r="G24" s="124"/>
      <c r="H24" s="124"/>
      <c r="I24" s="129"/>
      <c r="J24" s="129"/>
      <c r="K24" s="129"/>
      <c r="L24" s="129"/>
      <c r="M24" s="130"/>
      <c r="N24" s="130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93">
        <v>9</v>
      </c>
      <c r="B25" s="197"/>
      <c r="C25" s="132" t="s">
        <v>511</v>
      </c>
      <c r="D25" s="118" t="s">
        <v>490</v>
      </c>
      <c r="E25" s="124"/>
      <c r="F25" s="124"/>
      <c r="G25" s="124"/>
      <c r="H25" s="124"/>
      <c r="I25" s="129"/>
      <c r="J25" s="126"/>
      <c r="K25" s="126"/>
      <c r="L25" s="126"/>
      <c r="M25" s="121" t="s">
        <v>510</v>
      </c>
      <c r="N25" s="121" t="s">
        <v>510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 x14ac:dyDescent="0.25">
      <c r="A26" s="192"/>
      <c r="B26" s="192"/>
      <c r="C26" s="113"/>
      <c r="D26" s="118" t="s">
        <v>493</v>
      </c>
      <c r="E26" s="124"/>
      <c r="F26" s="124"/>
      <c r="G26" s="124"/>
      <c r="H26" s="124"/>
      <c r="I26" s="129"/>
      <c r="J26" s="129"/>
      <c r="K26" s="129"/>
      <c r="L26" s="129"/>
      <c r="M26" s="117"/>
      <c r="N26" s="1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33" t="s">
        <v>490</v>
      </c>
      <c r="B28" s="13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33" t="s">
        <v>512</v>
      </c>
      <c r="B29" s="13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33" t="s">
        <v>513</v>
      </c>
      <c r="B30" s="13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3">
    <mergeCell ref="C19:C20"/>
    <mergeCell ref="C21:C22"/>
    <mergeCell ref="A13:A14"/>
    <mergeCell ref="B13:B14"/>
    <mergeCell ref="C13:C14"/>
    <mergeCell ref="A15:A16"/>
    <mergeCell ref="B15:B18"/>
    <mergeCell ref="C15:C16"/>
    <mergeCell ref="C17:C18"/>
    <mergeCell ref="A17:A18"/>
    <mergeCell ref="A19:A20"/>
    <mergeCell ref="B19:B22"/>
    <mergeCell ref="A21:A22"/>
    <mergeCell ref="A23:A24"/>
    <mergeCell ref="B23:B26"/>
    <mergeCell ref="A25:A26"/>
    <mergeCell ref="A9:A10"/>
    <mergeCell ref="B9:B12"/>
    <mergeCell ref="C9:C10"/>
    <mergeCell ref="A11:A12"/>
    <mergeCell ref="C11:C12"/>
    <mergeCell ref="D6:I6"/>
    <mergeCell ref="J6:L6"/>
    <mergeCell ref="D7:L7"/>
    <mergeCell ref="A2:N2"/>
    <mergeCell ref="A3:N3"/>
    <mergeCell ref="A4:C4"/>
    <mergeCell ref="D4:L4"/>
    <mergeCell ref="M4:N6"/>
    <mergeCell ref="D5:I5"/>
    <mergeCell ref="J5:L5"/>
    <mergeCell ref="A5:C5"/>
    <mergeCell ref="A6:C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43.7109375" customWidth="1"/>
    <col min="4" max="4" width="26.7109375" customWidth="1"/>
    <col min="5" max="5" width="13.85546875" customWidth="1"/>
    <col min="6" max="6" width="45.5703125" customWidth="1"/>
    <col min="7" max="7" width="36.85546875" customWidth="1"/>
    <col min="8" max="8" width="17.140625" customWidth="1"/>
    <col min="9" max="9" width="11.85546875" customWidth="1"/>
    <col min="10" max="10" width="23.42578125" customWidth="1"/>
    <col min="11" max="11" width="47.7109375" customWidth="1"/>
    <col min="12" max="12" width="12.42578125" customWidth="1"/>
    <col min="13" max="26" width="8.7109375" customWidth="1"/>
  </cols>
  <sheetData>
    <row r="1" spans="1:26" ht="75" customHeight="1" x14ac:dyDescent="0.25">
      <c r="A1" s="137" t="s">
        <v>514</v>
      </c>
      <c r="B1" s="137" t="s">
        <v>515</v>
      </c>
      <c r="C1" s="138" t="s">
        <v>516</v>
      </c>
      <c r="D1" s="138" t="s">
        <v>517</v>
      </c>
      <c r="E1" s="138" t="s">
        <v>518</v>
      </c>
      <c r="F1" s="138" t="s">
        <v>519</v>
      </c>
      <c r="G1" s="138" t="s">
        <v>520</v>
      </c>
      <c r="H1" s="138" t="s">
        <v>521</v>
      </c>
      <c r="I1" s="138" t="s">
        <v>522</v>
      </c>
      <c r="J1" s="138" t="s">
        <v>523</v>
      </c>
      <c r="K1" s="138" t="s">
        <v>524</v>
      </c>
      <c r="L1" s="138" t="s">
        <v>525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105" x14ac:dyDescent="0.25">
      <c r="A2" s="140">
        <v>1</v>
      </c>
      <c r="B2" s="140" t="s">
        <v>526</v>
      </c>
      <c r="C2" s="141" t="s">
        <v>527</v>
      </c>
      <c r="D2" s="141">
        <v>2940</v>
      </c>
      <c r="E2" s="141">
        <v>1385</v>
      </c>
      <c r="F2" s="141" t="s">
        <v>528</v>
      </c>
      <c r="G2" s="141" t="s">
        <v>529</v>
      </c>
      <c r="H2" s="141" t="s">
        <v>530</v>
      </c>
      <c r="I2" s="140" t="s">
        <v>531</v>
      </c>
      <c r="J2" s="140" t="s">
        <v>532</v>
      </c>
      <c r="K2" s="142" t="s">
        <v>533</v>
      </c>
      <c r="L2" s="143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105" x14ac:dyDescent="0.25">
      <c r="A3" s="140">
        <v>2</v>
      </c>
      <c r="B3" s="140" t="s">
        <v>526</v>
      </c>
      <c r="C3" s="141" t="s">
        <v>534</v>
      </c>
      <c r="D3" s="141">
        <v>1140</v>
      </c>
      <c r="E3" s="141">
        <v>0</v>
      </c>
      <c r="F3" s="141" t="s">
        <v>535</v>
      </c>
      <c r="G3" s="141" t="s">
        <v>529</v>
      </c>
      <c r="H3" s="141" t="s">
        <v>536</v>
      </c>
      <c r="I3" s="140" t="s">
        <v>537</v>
      </c>
      <c r="J3" s="140" t="s">
        <v>538</v>
      </c>
      <c r="K3" s="142" t="s">
        <v>539</v>
      </c>
      <c r="L3" s="143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spans="1:26" ht="105" x14ac:dyDescent="0.25">
      <c r="A4" s="140">
        <v>3</v>
      </c>
      <c r="B4" s="140" t="s">
        <v>526</v>
      </c>
      <c r="C4" s="141" t="s">
        <v>540</v>
      </c>
      <c r="D4" s="141">
        <v>935</v>
      </c>
      <c r="E4" s="141">
        <v>0</v>
      </c>
      <c r="F4" s="141" t="s">
        <v>541</v>
      </c>
      <c r="G4" s="141" t="s">
        <v>529</v>
      </c>
      <c r="H4" s="141" t="s">
        <v>530</v>
      </c>
      <c r="I4" s="140" t="s">
        <v>537</v>
      </c>
      <c r="J4" s="140" t="s">
        <v>542</v>
      </c>
      <c r="K4" s="142" t="s">
        <v>539</v>
      </c>
      <c r="L4" s="143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spans="1:26" ht="105" x14ac:dyDescent="0.25">
      <c r="A5" s="140">
        <v>4</v>
      </c>
      <c r="B5" s="140" t="s">
        <v>526</v>
      </c>
      <c r="C5" s="141" t="s">
        <v>543</v>
      </c>
      <c r="D5" s="141">
        <v>4760</v>
      </c>
      <c r="E5" s="141">
        <v>0</v>
      </c>
      <c r="F5" s="141" t="s">
        <v>544</v>
      </c>
      <c r="G5" s="141" t="s">
        <v>529</v>
      </c>
      <c r="H5" s="141" t="s">
        <v>545</v>
      </c>
      <c r="I5" s="140" t="s">
        <v>537</v>
      </c>
      <c r="J5" s="140" t="s">
        <v>546</v>
      </c>
      <c r="K5" s="142" t="s">
        <v>539</v>
      </c>
      <c r="L5" s="143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spans="1:26" ht="105" x14ac:dyDescent="0.25">
      <c r="A6" s="140">
        <v>5</v>
      </c>
      <c r="B6" s="140" t="s">
        <v>526</v>
      </c>
      <c r="C6" s="141" t="s">
        <v>547</v>
      </c>
      <c r="D6" s="141">
        <v>1155</v>
      </c>
      <c r="E6" s="141">
        <v>0</v>
      </c>
      <c r="F6" s="141" t="s">
        <v>548</v>
      </c>
      <c r="G6" s="141" t="s">
        <v>529</v>
      </c>
      <c r="H6" s="141" t="s">
        <v>530</v>
      </c>
      <c r="I6" s="140" t="s">
        <v>549</v>
      </c>
      <c r="J6" s="140" t="s">
        <v>550</v>
      </c>
      <c r="K6" s="142" t="s">
        <v>539</v>
      </c>
      <c r="L6" s="143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spans="1:26" ht="90" x14ac:dyDescent="0.25">
      <c r="A7" s="140">
        <v>6</v>
      </c>
      <c r="B7" s="140" t="s">
        <v>526</v>
      </c>
      <c r="C7" s="141" t="s">
        <v>551</v>
      </c>
      <c r="D7" s="141">
        <v>780</v>
      </c>
      <c r="E7" s="141">
        <v>0</v>
      </c>
      <c r="F7" s="145" t="s">
        <v>552</v>
      </c>
      <c r="G7" s="141" t="s">
        <v>529</v>
      </c>
      <c r="H7" s="141" t="s">
        <v>530</v>
      </c>
      <c r="I7" s="140" t="s">
        <v>553</v>
      </c>
      <c r="J7" s="140" t="s">
        <v>554</v>
      </c>
      <c r="K7" s="142" t="s">
        <v>555</v>
      </c>
      <c r="L7" s="143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90" x14ac:dyDescent="0.25">
      <c r="A8" s="140">
        <v>7</v>
      </c>
      <c r="B8" s="140" t="s">
        <v>526</v>
      </c>
      <c r="C8" s="141" t="s">
        <v>556</v>
      </c>
      <c r="D8" s="141">
        <v>2430</v>
      </c>
      <c r="E8" s="141">
        <v>0</v>
      </c>
      <c r="F8" s="141" t="s">
        <v>557</v>
      </c>
      <c r="G8" s="141" t="s">
        <v>529</v>
      </c>
      <c r="H8" s="141" t="s">
        <v>558</v>
      </c>
      <c r="I8" s="140" t="s">
        <v>559</v>
      </c>
      <c r="J8" s="140" t="s">
        <v>560</v>
      </c>
      <c r="K8" s="142" t="s">
        <v>539</v>
      </c>
      <c r="L8" s="143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spans="1:26" ht="105" x14ac:dyDescent="0.25">
      <c r="A9" s="140">
        <v>8</v>
      </c>
      <c r="B9" s="140" t="s">
        <v>526</v>
      </c>
      <c r="C9" s="141" t="s">
        <v>561</v>
      </c>
      <c r="D9" s="141">
        <v>1125</v>
      </c>
      <c r="E9" s="141">
        <v>0</v>
      </c>
      <c r="F9" s="141" t="s">
        <v>562</v>
      </c>
      <c r="G9" s="141" t="s">
        <v>529</v>
      </c>
      <c r="H9" s="141" t="s">
        <v>563</v>
      </c>
      <c r="I9" s="140" t="s">
        <v>559</v>
      </c>
      <c r="J9" s="140" t="s">
        <v>564</v>
      </c>
      <c r="K9" s="142" t="s">
        <v>555</v>
      </c>
      <c r="L9" s="143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spans="1:26" ht="120" x14ac:dyDescent="0.25">
      <c r="A10" s="140">
        <v>9</v>
      </c>
      <c r="B10" s="140" t="s">
        <v>526</v>
      </c>
      <c r="C10" s="141" t="s">
        <v>565</v>
      </c>
      <c r="D10" s="141">
        <v>325</v>
      </c>
      <c r="E10" s="141">
        <v>0</v>
      </c>
      <c r="F10" s="141" t="s">
        <v>566</v>
      </c>
      <c r="G10" s="141" t="s">
        <v>529</v>
      </c>
      <c r="H10" s="141" t="s">
        <v>567</v>
      </c>
      <c r="I10" s="140" t="s">
        <v>553</v>
      </c>
      <c r="J10" s="140" t="s">
        <v>568</v>
      </c>
      <c r="K10" s="142" t="s">
        <v>569</v>
      </c>
      <c r="L10" s="143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spans="1:26" ht="90" x14ac:dyDescent="0.25">
      <c r="A11" s="140">
        <v>10</v>
      </c>
      <c r="B11" s="146" t="s">
        <v>570</v>
      </c>
      <c r="C11" s="147" t="s">
        <v>571</v>
      </c>
      <c r="D11" s="148">
        <v>375</v>
      </c>
      <c r="E11" s="148">
        <v>0</v>
      </c>
      <c r="F11" s="147" t="s">
        <v>572</v>
      </c>
      <c r="G11" s="141" t="s">
        <v>529</v>
      </c>
      <c r="H11" s="141" t="s">
        <v>530</v>
      </c>
      <c r="I11" s="140" t="s">
        <v>573</v>
      </c>
      <c r="J11" s="140" t="s">
        <v>574</v>
      </c>
      <c r="K11" s="142" t="s">
        <v>575</v>
      </c>
      <c r="L11" s="147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spans="1:26" ht="105" x14ac:dyDescent="0.25">
      <c r="A12" s="140">
        <v>11</v>
      </c>
      <c r="B12" s="146" t="s">
        <v>570</v>
      </c>
      <c r="C12" s="147" t="s">
        <v>576</v>
      </c>
      <c r="D12" s="148">
        <v>290</v>
      </c>
      <c r="E12" s="148">
        <v>0</v>
      </c>
      <c r="F12" s="147" t="s">
        <v>577</v>
      </c>
      <c r="G12" s="141" t="s">
        <v>529</v>
      </c>
      <c r="H12" s="141" t="s">
        <v>530</v>
      </c>
      <c r="I12" s="140" t="s">
        <v>578</v>
      </c>
      <c r="J12" s="140" t="s">
        <v>579</v>
      </c>
      <c r="K12" s="142" t="s">
        <v>580</v>
      </c>
      <c r="L12" s="147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spans="1:26" ht="90" x14ac:dyDescent="0.25">
      <c r="A13" s="140">
        <v>12</v>
      </c>
      <c r="B13" s="146" t="s">
        <v>570</v>
      </c>
      <c r="C13" s="141" t="s">
        <v>551</v>
      </c>
      <c r="D13" s="141">
        <v>175</v>
      </c>
      <c r="E13" s="141">
        <v>0</v>
      </c>
      <c r="F13" s="141" t="s">
        <v>581</v>
      </c>
      <c r="G13" s="141" t="s">
        <v>529</v>
      </c>
      <c r="H13" s="141" t="s">
        <v>530</v>
      </c>
      <c r="I13" s="140" t="s">
        <v>582</v>
      </c>
      <c r="J13" s="140" t="s">
        <v>583</v>
      </c>
      <c r="K13" s="142" t="s">
        <v>580</v>
      </c>
      <c r="L13" s="142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spans="1:26" ht="105" x14ac:dyDescent="0.25">
      <c r="A14" s="140">
        <v>13</v>
      </c>
      <c r="B14" s="146" t="s">
        <v>570</v>
      </c>
      <c r="C14" s="141" t="s">
        <v>584</v>
      </c>
      <c r="D14" s="141">
        <v>280</v>
      </c>
      <c r="E14" s="141">
        <v>0</v>
      </c>
      <c r="F14" s="141" t="s">
        <v>585</v>
      </c>
      <c r="G14" s="141" t="s">
        <v>529</v>
      </c>
      <c r="H14" s="141" t="s">
        <v>567</v>
      </c>
      <c r="I14" s="140" t="s">
        <v>582</v>
      </c>
      <c r="J14" s="140" t="s">
        <v>586</v>
      </c>
      <c r="K14" s="142" t="s">
        <v>580</v>
      </c>
      <c r="L14" s="147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spans="1:26" ht="90" x14ac:dyDescent="0.25">
      <c r="A15" s="140">
        <v>14</v>
      </c>
      <c r="B15" s="146" t="s">
        <v>570</v>
      </c>
      <c r="C15" s="147" t="s">
        <v>587</v>
      </c>
      <c r="D15" s="148">
        <v>163</v>
      </c>
      <c r="E15" s="148">
        <v>0</v>
      </c>
      <c r="F15" s="147" t="s">
        <v>588</v>
      </c>
      <c r="G15" s="141" t="s">
        <v>529</v>
      </c>
      <c r="H15" s="141" t="s">
        <v>589</v>
      </c>
      <c r="I15" s="140" t="s">
        <v>582</v>
      </c>
      <c r="J15" s="140" t="s">
        <v>590</v>
      </c>
      <c r="K15" s="142" t="s">
        <v>580</v>
      </c>
      <c r="L15" s="142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spans="1:26" ht="15.75" x14ac:dyDescent="0.25">
      <c r="A16" s="149"/>
      <c r="B16" s="150"/>
      <c r="C16" s="151"/>
      <c r="D16" s="151"/>
      <c r="E16" s="151"/>
      <c r="F16" s="151"/>
      <c r="G16" s="151"/>
      <c r="H16" s="151"/>
      <c r="I16" s="144"/>
      <c r="J16" s="144"/>
      <c r="K16" s="151"/>
      <c r="L16" s="151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spans="1:26" ht="15.75" x14ac:dyDescent="0.25">
      <c r="A17" s="149"/>
      <c r="B17" s="150"/>
      <c r="C17" s="151"/>
      <c r="D17" s="151"/>
      <c r="E17" s="151"/>
      <c r="F17" s="151"/>
      <c r="G17" s="151"/>
      <c r="H17" s="151"/>
      <c r="I17" s="144"/>
      <c r="J17" s="144"/>
      <c r="K17" s="151"/>
      <c r="L17" s="151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spans="1:26" ht="15.75" x14ac:dyDescent="0.25">
      <c r="A18" s="149"/>
      <c r="B18" s="150"/>
      <c r="C18" s="151"/>
      <c r="D18" s="151"/>
      <c r="E18" s="151"/>
      <c r="F18" s="151"/>
      <c r="G18" s="151"/>
      <c r="H18" s="151"/>
      <c r="I18" s="144"/>
      <c r="J18" s="144"/>
      <c r="K18" s="151"/>
      <c r="L18" s="151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spans="1:26" ht="15.75" x14ac:dyDescent="0.25">
      <c r="A19" s="149"/>
      <c r="B19" s="150"/>
      <c r="C19" s="151"/>
      <c r="D19" s="151"/>
      <c r="E19" s="151"/>
      <c r="F19" s="151"/>
      <c r="G19" s="151"/>
      <c r="H19" s="151"/>
      <c r="I19" s="144"/>
      <c r="J19" s="144"/>
      <c r="K19" s="151"/>
      <c r="L19" s="151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spans="1:26" ht="15.75" x14ac:dyDescent="0.25">
      <c r="A20" s="149"/>
      <c r="B20" s="150"/>
      <c r="C20" s="151"/>
      <c r="D20" s="151"/>
      <c r="E20" s="151"/>
      <c r="F20" s="151"/>
      <c r="G20" s="151"/>
      <c r="H20" s="151"/>
      <c r="I20" s="144"/>
      <c r="J20" s="144"/>
      <c r="K20" s="151"/>
      <c r="L20" s="151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spans="1:26" ht="15.75" customHeight="1" x14ac:dyDescent="0.25">
      <c r="A21" s="149"/>
      <c r="B21" s="150"/>
      <c r="C21" s="151"/>
      <c r="D21" s="151"/>
      <c r="E21" s="151"/>
      <c r="F21" s="151"/>
      <c r="G21" s="151"/>
      <c r="H21" s="151"/>
      <c r="I21" s="144"/>
      <c r="J21" s="144"/>
      <c r="K21" s="151"/>
      <c r="L21" s="151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spans="1:26" ht="15.75" customHeight="1" x14ac:dyDescent="0.25">
      <c r="A22" s="149"/>
      <c r="B22" s="150"/>
      <c r="C22" s="151"/>
      <c r="D22" s="151"/>
      <c r="E22" s="151"/>
      <c r="F22" s="151"/>
      <c r="G22" s="151"/>
      <c r="H22" s="151"/>
      <c r="I22" s="144"/>
      <c r="J22" s="144"/>
      <c r="K22" s="151"/>
      <c r="L22" s="151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spans="1:26" ht="15.75" customHeight="1" x14ac:dyDescent="0.25">
      <c r="A23" s="149"/>
      <c r="B23" s="150"/>
      <c r="C23" s="151"/>
      <c r="D23" s="151"/>
      <c r="E23" s="151"/>
      <c r="F23" s="151"/>
      <c r="G23" s="151"/>
      <c r="H23" s="151"/>
      <c r="I23" s="144"/>
      <c r="J23" s="144"/>
      <c r="K23" s="151"/>
      <c r="L23" s="151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spans="1:26" ht="15.75" customHeight="1" x14ac:dyDescent="0.25">
      <c r="A24" s="149"/>
      <c r="B24" s="150"/>
      <c r="C24" s="151"/>
      <c r="D24" s="151"/>
      <c r="E24" s="151"/>
      <c r="F24" s="151"/>
      <c r="G24" s="151"/>
      <c r="H24" s="151"/>
      <c r="I24" s="144"/>
      <c r="J24" s="144"/>
      <c r="K24" s="151"/>
      <c r="L24" s="151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spans="1:26" ht="15.75" customHeight="1" x14ac:dyDescent="0.25">
      <c r="A25" s="149"/>
      <c r="B25" s="150"/>
      <c r="C25" s="151"/>
      <c r="D25" s="151"/>
      <c r="E25" s="151"/>
      <c r="F25" s="151"/>
      <c r="G25" s="151"/>
      <c r="H25" s="151"/>
      <c r="I25" s="144"/>
      <c r="J25" s="144"/>
      <c r="K25" s="151"/>
      <c r="L25" s="151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spans="1:26" ht="15.75" customHeight="1" x14ac:dyDescent="0.25">
      <c r="A26" s="149"/>
      <c r="B26" s="150"/>
      <c r="C26" s="151"/>
      <c r="D26" s="151"/>
      <c r="E26" s="151"/>
      <c r="F26" s="151"/>
      <c r="G26" s="151"/>
      <c r="H26" s="151"/>
      <c r="I26" s="144"/>
      <c r="J26" s="144"/>
      <c r="K26" s="151"/>
      <c r="L26" s="151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spans="1:26" ht="15.75" customHeight="1" x14ac:dyDescent="0.25">
      <c r="A27" s="149"/>
      <c r="B27" s="150"/>
      <c r="C27" s="151"/>
      <c r="D27" s="151"/>
      <c r="E27" s="151"/>
      <c r="F27" s="151"/>
      <c r="G27" s="151"/>
      <c r="H27" s="151"/>
      <c r="I27" s="144"/>
      <c r="J27" s="144"/>
      <c r="K27" s="151"/>
      <c r="L27" s="151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spans="1:26" ht="15.75" customHeight="1" x14ac:dyDescent="0.25">
      <c r="A28" s="149"/>
      <c r="B28" s="150"/>
      <c r="C28" s="151"/>
      <c r="D28" s="151"/>
      <c r="E28" s="151"/>
      <c r="F28" s="151"/>
      <c r="G28" s="151"/>
      <c r="H28" s="151"/>
      <c r="I28" s="144"/>
      <c r="J28" s="144"/>
      <c r="K28" s="151"/>
      <c r="L28" s="151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spans="1:26" ht="15.75" customHeight="1" x14ac:dyDescent="0.25">
      <c r="A29" s="149"/>
      <c r="B29" s="150"/>
      <c r="C29" s="151"/>
      <c r="D29" s="151"/>
      <c r="E29" s="151"/>
      <c r="F29" s="151"/>
      <c r="G29" s="151"/>
      <c r="H29" s="151"/>
      <c r="I29" s="144"/>
      <c r="J29" s="144"/>
      <c r="K29" s="151"/>
      <c r="L29" s="151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spans="1:26" ht="15.75" customHeight="1" x14ac:dyDescent="0.25">
      <c r="A30" s="149"/>
      <c r="B30" s="150"/>
      <c r="C30" s="151"/>
      <c r="D30" s="151"/>
      <c r="E30" s="151"/>
      <c r="F30" s="151"/>
      <c r="G30" s="151"/>
      <c r="H30" s="151"/>
      <c r="I30" s="144"/>
      <c r="J30" s="144"/>
      <c r="K30" s="151"/>
      <c r="L30" s="151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spans="1:26" ht="15.75" customHeight="1" x14ac:dyDescent="0.25">
      <c r="A31" s="149"/>
      <c r="B31" s="150"/>
      <c r="C31" s="151"/>
      <c r="D31" s="151"/>
      <c r="E31" s="151"/>
      <c r="F31" s="151"/>
      <c r="G31" s="151"/>
      <c r="H31" s="151"/>
      <c r="I31" s="144"/>
      <c r="J31" s="144"/>
      <c r="K31" s="151"/>
      <c r="L31" s="151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spans="1:26" ht="15.75" customHeight="1" x14ac:dyDescent="0.25">
      <c r="A32" s="149"/>
      <c r="B32" s="150"/>
      <c r="C32" s="151"/>
      <c r="D32" s="151"/>
      <c r="E32" s="151"/>
      <c r="F32" s="151"/>
      <c r="G32" s="151"/>
      <c r="H32" s="151"/>
      <c r="I32" s="144"/>
      <c r="J32" s="144"/>
      <c r="K32" s="151"/>
      <c r="L32" s="151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spans="1:26" ht="15.75" customHeight="1" x14ac:dyDescent="0.25">
      <c r="A33" s="149"/>
      <c r="B33" s="150"/>
      <c r="C33" s="151"/>
      <c r="D33" s="151"/>
      <c r="E33" s="151"/>
      <c r="F33" s="151"/>
      <c r="G33" s="151"/>
      <c r="H33" s="151"/>
      <c r="I33" s="144"/>
      <c r="J33" s="144"/>
      <c r="K33" s="151"/>
      <c r="L33" s="151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spans="1:26" ht="15.75" customHeight="1" x14ac:dyDescent="0.25">
      <c r="A34" s="149"/>
      <c r="B34" s="150"/>
      <c r="C34" s="151"/>
      <c r="D34" s="151"/>
      <c r="E34" s="151"/>
      <c r="F34" s="151"/>
      <c r="G34" s="151"/>
      <c r="H34" s="151"/>
      <c r="I34" s="144"/>
      <c r="J34" s="144"/>
      <c r="K34" s="151"/>
      <c r="L34" s="151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spans="1:26" ht="15.75" customHeight="1" x14ac:dyDescent="0.25">
      <c r="A35" s="149"/>
      <c r="B35" s="150"/>
      <c r="C35" s="151"/>
      <c r="D35" s="151"/>
      <c r="E35" s="151"/>
      <c r="F35" s="151"/>
      <c r="G35" s="151"/>
      <c r="H35" s="151"/>
      <c r="I35" s="144"/>
      <c r="J35" s="144"/>
      <c r="K35" s="151"/>
      <c r="L35" s="151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spans="1:26" ht="15.75" customHeight="1" x14ac:dyDescent="0.25">
      <c r="A36" s="149"/>
      <c r="B36" s="150"/>
      <c r="C36" s="151"/>
      <c r="D36" s="151"/>
      <c r="E36" s="151"/>
      <c r="F36" s="151"/>
      <c r="G36" s="151"/>
      <c r="H36" s="151"/>
      <c r="I36" s="144"/>
      <c r="J36" s="144"/>
      <c r="K36" s="151"/>
      <c r="L36" s="151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spans="1:26" ht="15.75" customHeight="1" x14ac:dyDescent="0.25">
      <c r="A37" s="149"/>
      <c r="B37" s="150"/>
      <c r="C37" s="151"/>
      <c r="D37" s="151"/>
      <c r="E37" s="151"/>
      <c r="F37" s="151"/>
      <c r="G37" s="151"/>
      <c r="H37" s="151"/>
      <c r="I37" s="144"/>
      <c r="J37" s="144"/>
      <c r="K37" s="151"/>
      <c r="L37" s="151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spans="1:26" ht="15.75" customHeight="1" x14ac:dyDescent="0.25">
      <c r="A38" s="149"/>
      <c r="B38" s="150"/>
      <c r="C38" s="151"/>
      <c r="D38" s="151"/>
      <c r="E38" s="151"/>
      <c r="F38" s="151"/>
      <c r="G38" s="151"/>
      <c r="H38" s="151"/>
      <c r="I38" s="144"/>
      <c r="J38" s="144"/>
      <c r="K38" s="151"/>
      <c r="L38" s="151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spans="1:26" ht="15.75" customHeight="1" x14ac:dyDescent="0.25">
      <c r="A39" s="149"/>
      <c r="B39" s="150"/>
      <c r="C39" s="151"/>
      <c r="D39" s="151"/>
      <c r="E39" s="151"/>
      <c r="F39" s="151"/>
      <c r="G39" s="151"/>
      <c r="H39" s="151"/>
      <c r="I39" s="144"/>
      <c r="J39" s="144"/>
      <c r="K39" s="151"/>
      <c r="L39" s="151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spans="1:26" ht="15.75" customHeight="1" x14ac:dyDescent="0.25">
      <c r="A40" s="149"/>
      <c r="B40" s="150"/>
      <c r="C40" s="151"/>
      <c r="D40" s="151"/>
      <c r="E40" s="151"/>
      <c r="F40" s="151"/>
      <c r="G40" s="151"/>
      <c r="H40" s="151"/>
      <c r="I40" s="144"/>
      <c r="J40" s="144"/>
      <c r="K40" s="151"/>
      <c r="L40" s="151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spans="1:26" ht="15.75" customHeight="1" x14ac:dyDescent="0.25">
      <c r="A41" s="149"/>
      <c r="B41" s="150"/>
      <c r="C41" s="151"/>
      <c r="D41" s="151"/>
      <c r="E41" s="151"/>
      <c r="F41" s="151"/>
      <c r="G41" s="151"/>
      <c r="H41" s="151"/>
      <c r="I41" s="144"/>
      <c r="J41" s="144"/>
      <c r="K41" s="151"/>
      <c r="L41" s="151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spans="1:26" ht="15.75" customHeight="1" x14ac:dyDescent="0.25">
      <c r="A42" s="149"/>
      <c r="B42" s="150"/>
      <c r="C42" s="151"/>
      <c r="D42" s="151"/>
      <c r="E42" s="151"/>
      <c r="F42" s="151"/>
      <c r="G42" s="151"/>
      <c r="H42" s="151"/>
      <c r="I42" s="144"/>
      <c r="J42" s="144"/>
      <c r="K42" s="151"/>
      <c r="L42" s="151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spans="1:26" ht="15.75" customHeight="1" x14ac:dyDescent="0.25">
      <c r="A43" s="149"/>
      <c r="B43" s="150"/>
      <c r="C43" s="151"/>
      <c r="D43" s="151"/>
      <c r="E43" s="151"/>
      <c r="F43" s="151"/>
      <c r="G43" s="151"/>
      <c r="H43" s="151"/>
      <c r="I43" s="144"/>
      <c r="J43" s="144"/>
      <c r="K43" s="151"/>
      <c r="L43" s="151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spans="1:26" ht="15.75" customHeight="1" x14ac:dyDescent="0.25">
      <c r="A44" s="149"/>
      <c r="B44" s="150"/>
      <c r="C44" s="151"/>
      <c r="D44" s="151"/>
      <c r="E44" s="151"/>
      <c r="F44" s="151"/>
      <c r="G44" s="151"/>
      <c r="H44" s="151"/>
      <c r="I44" s="144"/>
      <c r="J44" s="144"/>
      <c r="K44" s="151"/>
      <c r="L44" s="151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spans="1:26" ht="15.75" customHeight="1" x14ac:dyDescent="0.25">
      <c r="A45" s="149"/>
      <c r="B45" s="150"/>
      <c r="C45" s="151"/>
      <c r="D45" s="151"/>
      <c r="E45" s="151"/>
      <c r="F45" s="151"/>
      <c r="G45" s="151"/>
      <c r="H45" s="151"/>
      <c r="I45" s="144"/>
      <c r="J45" s="144"/>
      <c r="K45" s="151"/>
      <c r="L45" s="151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spans="1:26" ht="15.75" customHeight="1" x14ac:dyDescent="0.25">
      <c r="A46" s="149"/>
      <c r="B46" s="150"/>
      <c r="C46" s="151"/>
      <c r="D46" s="151"/>
      <c r="E46" s="151"/>
      <c r="F46" s="151"/>
      <c r="G46" s="151"/>
      <c r="H46" s="151"/>
      <c r="I46" s="144"/>
      <c r="J46" s="144"/>
      <c r="K46" s="151"/>
      <c r="L46" s="151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spans="1:26" ht="15.75" customHeight="1" x14ac:dyDescent="0.25">
      <c r="A47" s="149"/>
      <c r="B47" s="150"/>
      <c r="C47" s="151"/>
      <c r="D47" s="151"/>
      <c r="E47" s="151"/>
      <c r="F47" s="151"/>
      <c r="G47" s="151"/>
      <c r="H47" s="151"/>
      <c r="I47" s="144"/>
      <c r="J47" s="144"/>
      <c r="K47" s="151"/>
      <c r="L47" s="151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spans="1:26" ht="15.75" customHeight="1" x14ac:dyDescent="0.25">
      <c r="A48" s="149"/>
      <c r="B48" s="150"/>
      <c r="C48" s="151"/>
      <c r="D48" s="151"/>
      <c r="E48" s="151"/>
      <c r="F48" s="151"/>
      <c r="G48" s="151"/>
      <c r="H48" s="151"/>
      <c r="I48" s="144"/>
      <c r="J48" s="144"/>
      <c r="K48" s="151"/>
      <c r="L48" s="151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spans="1:26" ht="15.75" customHeight="1" x14ac:dyDescent="0.25">
      <c r="A49" s="149"/>
      <c r="B49" s="150"/>
      <c r="C49" s="151"/>
      <c r="D49" s="151"/>
      <c r="E49" s="151"/>
      <c r="F49" s="151"/>
      <c r="G49" s="151"/>
      <c r="H49" s="151"/>
      <c r="I49" s="144"/>
      <c r="J49" s="144"/>
      <c r="K49" s="151"/>
      <c r="L49" s="151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spans="1:26" ht="15.75" customHeight="1" x14ac:dyDescent="0.25">
      <c r="A50" s="149"/>
      <c r="B50" s="150"/>
      <c r="C50" s="151"/>
      <c r="D50" s="151"/>
      <c r="E50" s="151"/>
      <c r="F50" s="151"/>
      <c r="G50" s="151"/>
      <c r="H50" s="151"/>
      <c r="I50" s="144"/>
      <c r="J50" s="144"/>
      <c r="K50" s="151"/>
      <c r="L50" s="151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spans="1:26" ht="15.75" customHeight="1" x14ac:dyDescent="0.25">
      <c r="A51" s="149"/>
      <c r="B51" s="150"/>
      <c r="C51" s="151"/>
      <c r="D51" s="151"/>
      <c r="E51" s="151"/>
      <c r="F51" s="151"/>
      <c r="G51" s="151"/>
      <c r="H51" s="151"/>
      <c r="I51" s="144"/>
      <c r="J51" s="144"/>
      <c r="K51" s="151"/>
      <c r="L51" s="151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spans="1:26" ht="15.75" customHeight="1" x14ac:dyDescent="0.25">
      <c r="A52" s="149"/>
      <c r="B52" s="150"/>
      <c r="C52" s="151"/>
      <c r="D52" s="151"/>
      <c r="E52" s="151"/>
      <c r="F52" s="151"/>
      <c r="G52" s="151"/>
      <c r="H52" s="151"/>
      <c r="I52" s="144"/>
      <c r="J52" s="144"/>
      <c r="K52" s="151"/>
      <c r="L52" s="151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15.75" customHeight="1" x14ac:dyDescent="0.25">
      <c r="A53" s="149"/>
      <c r="B53" s="150"/>
      <c r="C53" s="151"/>
      <c r="D53" s="151"/>
      <c r="E53" s="151"/>
      <c r="F53" s="151"/>
      <c r="G53" s="151"/>
      <c r="H53" s="151"/>
      <c r="I53" s="144"/>
      <c r="J53" s="144"/>
      <c r="K53" s="151"/>
      <c r="L53" s="151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spans="1:26" ht="15.75" customHeight="1" x14ac:dyDescent="0.25">
      <c r="A54" s="149"/>
      <c r="B54" s="150"/>
      <c r="C54" s="151"/>
      <c r="D54" s="151"/>
      <c r="E54" s="151"/>
      <c r="F54" s="151"/>
      <c r="G54" s="151"/>
      <c r="H54" s="151"/>
      <c r="I54" s="144"/>
      <c r="J54" s="144"/>
      <c r="K54" s="151"/>
      <c r="L54" s="151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spans="1:26" ht="15.75" customHeight="1" x14ac:dyDescent="0.25">
      <c r="A55" s="149"/>
      <c r="B55" s="150"/>
      <c r="C55" s="151"/>
      <c r="D55" s="151"/>
      <c r="E55" s="151"/>
      <c r="F55" s="151"/>
      <c r="G55" s="151"/>
      <c r="H55" s="151"/>
      <c r="I55" s="144"/>
      <c r="J55" s="144"/>
      <c r="K55" s="151"/>
      <c r="L55" s="151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spans="1:26" ht="15.75" customHeight="1" x14ac:dyDescent="0.25">
      <c r="A56" s="149"/>
      <c r="B56" s="150"/>
      <c r="C56" s="151"/>
      <c r="D56" s="151"/>
      <c r="E56" s="151"/>
      <c r="F56" s="151"/>
      <c r="G56" s="151"/>
      <c r="H56" s="151"/>
      <c r="I56" s="144"/>
      <c r="J56" s="144"/>
      <c r="K56" s="151"/>
      <c r="L56" s="151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spans="1:26" ht="15.75" customHeight="1" x14ac:dyDescent="0.25">
      <c r="A57" s="149"/>
      <c r="B57" s="150"/>
      <c r="C57" s="151"/>
      <c r="D57" s="151"/>
      <c r="E57" s="151"/>
      <c r="F57" s="151"/>
      <c r="G57" s="151"/>
      <c r="H57" s="151"/>
      <c r="I57" s="144"/>
      <c r="J57" s="144"/>
      <c r="K57" s="151"/>
      <c r="L57" s="151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spans="1:26" ht="15.75" customHeight="1" x14ac:dyDescent="0.25">
      <c r="A58" s="149"/>
      <c r="B58" s="150"/>
      <c r="C58" s="151"/>
      <c r="D58" s="151"/>
      <c r="E58" s="151"/>
      <c r="F58" s="151"/>
      <c r="G58" s="151"/>
      <c r="H58" s="151"/>
      <c r="I58" s="144"/>
      <c r="J58" s="144"/>
      <c r="K58" s="151"/>
      <c r="L58" s="151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spans="1:26" ht="15.75" customHeight="1" x14ac:dyDescent="0.25">
      <c r="A59" s="149"/>
      <c r="B59" s="150"/>
      <c r="C59" s="151"/>
      <c r="D59" s="151"/>
      <c r="E59" s="151"/>
      <c r="F59" s="151"/>
      <c r="G59" s="151"/>
      <c r="H59" s="151"/>
      <c r="I59" s="144"/>
      <c r="J59" s="144"/>
      <c r="K59" s="151"/>
      <c r="L59" s="151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spans="1:26" ht="15.75" customHeight="1" x14ac:dyDescent="0.25">
      <c r="A60" s="149"/>
      <c r="B60" s="150"/>
      <c r="C60" s="151"/>
      <c r="D60" s="151"/>
      <c r="E60" s="151"/>
      <c r="F60" s="151"/>
      <c r="G60" s="151"/>
      <c r="H60" s="151"/>
      <c r="I60" s="144"/>
      <c r="J60" s="144"/>
      <c r="K60" s="151"/>
      <c r="L60" s="151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spans="1:26" ht="15.75" customHeight="1" x14ac:dyDescent="0.25">
      <c r="A61" s="149"/>
      <c r="B61" s="150"/>
      <c r="C61" s="151"/>
      <c r="D61" s="151"/>
      <c r="E61" s="151"/>
      <c r="F61" s="151"/>
      <c r="G61" s="151"/>
      <c r="H61" s="151"/>
      <c r="I61" s="144"/>
      <c r="J61" s="144"/>
      <c r="K61" s="151"/>
      <c r="L61" s="151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spans="1:26" ht="15.75" customHeight="1" x14ac:dyDescent="0.25">
      <c r="A62" s="149"/>
      <c r="B62" s="150"/>
      <c r="C62" s="151"/>
      <c r="D62" s="151"/>
      <c r="E62" s="151"/>
      <c r="F62" s="151"/>
      <c r="G62" s="151"/>
      <c r="H62" s="151"/>
      <c r="I62" s="144"/>
      <c r="J62" s="144"/>
      <c r="K62" s="151"/>
      <c r="L62" s="151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spans="1:26" ht="15.75" customHeight="1" x14ac:dyDescent="0.25">
      <c r="A63" s="149"/>
      <c r="B63" s="150"/>
      <c r="C63" s="151"/>
      <c r="D63" s="151"/>
      <c r="E63" s="151"/>
      <c r="F63" s="151"/>
      <c r="G63" s="151"/>
      <c r="H63" s="151"/>
      <c r="I63" s="144"/>
      <c r="J63" s="144"/>
      <c r="K63" s="151"/>
      <c r="L63" s="151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spans="1:26" ht="15.75" customHeight="1" x14ac:dyDescent="0.25">
      <c r="A64" s="149"/>
      <c r="B64" s="150"/>
      <c r="C64" s="151"/>
      <c r="D64" s="151"/>
      <c r="E64" s="151"/>
      <c r="F64" s="151"/>
      <c r="G64" s="151"/>
      <c r="H64" s="151"/>
      <c r="I64" s="144"/>
      <c r="J64" s="144"/>
      <c r="K64" s="151"/>
      <c r="L64" s="151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spans="1:26" ht="15.75" customHeight="1" x14ac:dyDescent="0.25">
      <c r="A65" s="149"/>
      <c r="B65" s="150"/>
      <c r="C65" s="151"/>
      <c r="D65" s="151"/>
      <c r="E65" s="151"/>
      <c r="F65" s="151"/>
      <c r="G65" s="151"/>
      <c r="H65" s="151"/>
      <c r="I65" s="144"/>
      <c r="J65" s="144"/>
      <c r="K65" s="151"/>
      <c r="L65" s="151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spans="1:26" ht="15.75" customHeight="1" x14ac:dyDescent="0.25">
      <c r="A66" s="149"/>
      <c r="B66" s="150"/>
      <c r="C66" s="151"/>
      <c r="D66" s="151"/>
      <c r="E66" s="151"/>
      <c r="F66" s="151"/>
      <c r="G66" s="151"/>
      <c r="H66" s="151"/>
      <c r="I66" s="144"/>
      <c r="J66" s="144"/>
      <c r="K66" s="151"/>
      <c r="L66" s="151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spans="1:26" ht="15.75" customHeight="1" x14ac:dyDescent="0.25">
      <c r="A67" s="149"/>
      <c r="B67" s="150"/>
      <c r="C67" s="151"/>
      <c r="D67" s="151"/>
      <c r="E67" s="151"/>
      <c r="F67" s="151"/>
      <c r="G67" s="151"/>
      <c r="H67" s="151"/>
      <c r="I67" s="144"/>
      <c r="J67" s="144"/>
      <c r="K67" s="151"/>
      <c r="L67" s="151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spans="1:26" ht="15.75" customHeight="1" x14ac:dyDescent="0.25">
      <c r="A68" s="149"/>
      <c r="B68" s="150"/>
      <c r="C68" s="151"/>
      <c r="D68" s="151"/>
      <c r="E68" s="151"/>
      <c r="F68" s="151"/>
      <c r="G68" s="151"/>
      <c r="H68" s="151"/>
      <c r="I68" s="144"/>
      <c r="J68" s="144"/>
      <c r="K68" s="151"/>
      <c r="L68" s="151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spans="1:26" ht="15.75" customHeight="1" x14ac:dyDescent="0.25">
      <c r="A69" s="149"/>
      <c r="B69" s="150"/>
      <c r="C69" s="151"/>
      <c r="D69" s="151"/>
      <c r="E69" s="151"/>
      <c r="F69" s="151"/>
      <c r="G69" s="151"/>
      <c r="H69" s="151"/>
      <c r="I69" s="144"/>
      <c r="J69" s="144"/>
      <c r="K69" s="151"/>
      <c r="L69" s="151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spans="1:26" ht="15.75" customHeight="1" x14ac:dyDescent="0.25">
      <c r="A70" s="149"/>
      <c r="B70" s="150"/>
      <c r="C70" s="151"/>
      <c r="D70" s="151"/>
      <c r="E70" s="151"/>
      <c r="F70" s="151"/>
      <c r="G70" s="151"/>
      <c r="H70" s="151"/>
      <c r="I70" s="144"/>
      <c r="J70" s="144"/>
      <c r="K70" s="151"/>
      <c r="L70" s="151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spans="1:26" ht="15.75" customHeight="1" x14ac:dyDescent="0.25">
      <c r="A71" s="149"/>
      <c r="B71" s="150"/>
      <c r="C71" s="151"/>
      <c r="D71" s="151"/>
      <c r="E71" s="151"/>
      <c r="F71" s="151"/>
      <c r="G71" s="151"/>
      <c r="H71" s="151"/>
      <c r="I71" s="144"/>
      <c r="J71" s="144"/>
      <c r="K71" s="151"/>
      <c r="L71" s="151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spans="1:26" ht="15.75" customHeight="1" x14ac:dyDescent="0.25">
      <c r="A72" s="149"/>
      <c r="B72" s="150"/>
      <c r="C72" s="151"/>
      <c r="D72" s="151"/>
      <c r="E72" s="151"/>
      <c r="F72" s="151"/>
      <c r="G72" s="151"/>
      <c r="H72" s="151"/>
      <c r="I72" s="144"/>
      <c r="J72" s="144"/>
      <c r="K72" s="151"/>
      <c r="L72" s="151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spans="1:26" ht="15.75" customHeight="1" x14ac:dyDescent="0.25">
      <c r="A73" s="149"/>
      <c r="B73" s="150"/>
      <c r="C73" s="151"/>
      <c r="D73" s="151"/>
      <c r="E73" s="151"/>
      <c r="F73" s="151"/>
      <c r="G73" s="151"/>
      <c r="H73" s="151"/>
      <c r="I73" s="144"/>
      <c r="J73" s="144"/>
      <c r="K73" s="151"/>
      <c r="L73" s="151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spans="1:26" ht="15.75" customHeight="1" x14ac:dyDescent="0.25">
      <c r="A74" s="149"/>
      <c r="B74" s="150"/>
      <c r="C74" s="151"/>
      <c r="D74" s="151"/>
      <c r="E74" s="151"/>
      <c r="F74" s="151"/>
      <c r="G74" s="151"/>
      <c r="H74" s="151"/>
      <c r="I74" s="144"/>
      <c r="J74" s="144"/>
      <c r="K74" s="151"/>
      <c r="L74" s="151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spans="1:26" ht="15.75" customHeight="1" x14ac:dyDescent="0.25">
      <c r="A75" s="149"/>
      <c r="B75" s="150"/>
      <c r="C75" s="151"/>
      <c r="D75" s="151"/>
      <c r="E75" s="151"/>
      <c r="F75" s="151"/>
      <c r="G75" s="151"/>
      <c r="H75" s="151"/>
      <c r="I75" s="144"/>
      <c r="J75" s="144"/>
      <c r="K75" s="151"/>
      <c r="L75" s="151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spans="1:26" ht="15.75" customHeight="1" x14ac:dyDescent="0.25">
      <c r="A76" s="149"/>
      <c r="B76" s="150"/>
      <c r="C76" s="151"/>
      <c r="D76" s="151"/>
      <c r="E76" s="151"/>
      <c r="F76" s="151"/>
      <c r="G76" s="151"/>
      <c r="H76" s="151"/>
      <c r="I76" s="144"/>
      <c r="J76" s="144"/>
      <c r="K76" s="151"/>
      <c r="L76" s="151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spans="1:26" ht="15.75" customHeight="1" x14ac:dyDescent="0.25">
      <c r="A77" s="149"/>
      <c r="B77" s="150"/>
      <c r="C77" s="151"/>
      <c r="D77" s="151"/>
      <c r="E77" s="151"/>
      <c r="F77" s="151"/>
      <c r="G77" s="151"/>
      <c r="H77" s="151"/>
      <c r="I77" s="144"/>
      <c r="J77" s="144"/>
      <c r="K77" s="151"/>
      <c r="L77" s="151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spans="1:26" ht="15.75" customHeight="1" x14ac:dyDescent="0.25">
      <c r="A78" s="149"/>
      <c r="B78" s="150"/>
      <c r="C78" s="151"/>
      <c r="D78" s="151"/>
      <c r="E78" s="151"/>
      <c r="F78" s="151"/>
      <c r="G78" s="151"/>
      <c r="H78" s="151"/>
      <c r="I78" s="144"/>
      <c r="J78" s="144"/>
      <c r="K78" s="151"/>
      <c r="L78" s="151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spans="1:26" ht="15.75" customHeight="1" x14ac:dyDescent="0.25">
      <c r="A79" s="149"/>
      <c r="B79" s="150"/>
      <c r="C79" s="151"/>
      <c r="D79" s="151"/>
      <c r="E79" s="151"/>
      <c r="F79" s="151"/>
      <c r="G79" s="151"/>
      <c r="H79" s="151"/>
      <c r="I79" s="144"/>
      <c r="J79" s="144"/>
      <c r="K79" s="151"/>
      <c r="L79" s="151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spans="1:26" ht="15.75" customHeight="1" x14ac:dyDescent="0.25">
      <c r="A80" s="149"/>
      <c r="B80" s="150"/>
      <c r="C80" s="151"/>
      <c r="D80" s="151"/>
      <c r="E80" s="151"/>
      <c r="F80" s="151"/>
      <c r="G80" s="151"/>
      <c r="H80" s="151"/>
      <c r="I80" s="144"/>
      <c r="J80" s="144"/>
      <c r="K80" s="151"/>
      <c r="L80" s="151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spans="1:26" ht="15.75" customHeight="1" x14ac:dyDescent="0.25">
      <c r="A81" s="149"/>
      <c r="B81" s="150"/>
      <c r="C81" s="151"/>
      <c r="D81" s="151"/>
      <c r="E81" s="151"/>
      <c r="F81" s="151"/>
      <c r="G81" s="151"/>
      <c r="H81" s="151"/>
      <c r="I81" s="144"/>
      <c r="J81" s="144"/>
      <c r="K81" s="151"/>
      <c r="L81" s="151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spans="1:26" ht="15.75" customHeight="1" x14ac:dyDescent="0.25">
      <c r="A82" s="149"/>
      <c r="B82" s="150"/>
      <c r="C82" s="151"/>
      <c r="D82" s="151"/>
      <c r="E82" s="151"/>
      <c r="F82" s="151"/>
      <c r="G82" s="151"/>
      <c r="H82" s="151"/>
      <c r="I82" s="144"/>
      <c r="J82" s="144"/>
      <c r="K82" s="151"/>
      <c r="L82" s="151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spans="1:26" ht="15.75" customHeight="1" x14ac:dyDescent="0.25">
      <c r="A83" s="149"/>
      <c r="B83" s="150"/>
      <c r="C83" s="151"/>
      <c r="D83" s="151"/>
      <c r="E83" s="151"/>
      <c r="F83" s="151"/>
      <c r="G83" s="151"/>
      <c r="H83" s="151"/>
      <c r="I83" s="144"/>
      <c r="J83" s="144"/>
      <c r="K83" s="151"/>
      <c r="L83" s="151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spans="1:26" ht="15.75" customHeight="1" x14ac:dyDescent="0.25">
      <c r="A84" s="149"/>
      <c r="B84" s="150"/>
      <c r="C84" s="151"/>
      <c r="D84" s="151"/>
      <c r="E84" s="151"/>
      <c r="F84" s="151"/>
      <c r="G84" s="151"/>
      <c r="H84" s="151"/>
      <c r="I84" s="144"/>
      <c r="J84" s="144"/>
      <c r="K84" s="151"/>
      <c r="L84" s="151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spans="1:26" ht="15.75" customHeight="1" x14ac:dyDescent="0.25">
      <c r="A85" s="149"/>
      <c r="B85" s="150"/>
      <c r="C85" s="151"/>
      <c r="D85" s="151"/>
      <c r="E85" s="151"/>
      <c r="F85" s="151"/>
      <c r="G85" s="151"/>
      <c r="H85" s="151"/>
      <c r="I85" s="144"/>
      <c r="J85" s="144"/>
      <c r="K85" s="151"/>
      <c r="L85" s="151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spans="1:26" ht="15.75" customHeight="1" x14ac:dyDescent="0.25">
      <c r="A86" s="149"/>
      <c r="B86" s="150"/>
      <c r="C86" s="151"/>
      <c r="D86" s="151"/>
      <c r="E86" s="151"/>
      <c r="F86" s="151"/>
      <c r="G86" s="151"/>
      <c r="H86" s="151"/>
      <c r="I86" s="144"/>
      <c r="J86" s="144"/>
      <c r="K86" s="151"/>
      <c r="L86" s="151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spans="1:26" ht="15.75" customHeight="1" x14ac:dyDescent="0.25">
      <c r="A87" s="149"/>
      <c r="B87" s="150"/>
      <c r="C87" s="151"/>
      <c r="D87" s="151"/>
      <c r="E87" s="151"/>
      <c r="F87" s="151"/>
      <c r="G87" s="151"/>
      <c r="H87" s="151"/>
      <c r="I87" s="144"/>
      <c r="J87" s="144"/>
      <c r="K87" s="151"/>
      <c r="L87" s="151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spans="1:26" ht="15.75" customHeight="1" x14ac:dyDescent="0.25">
      <c r="A88" s="149"/>
      <c r="B88" s="150"/>
      <c r="C88" s="151"/>
      <c r="D88" s="151"/>
      <c r="E88" s="151"/>
      <c r="F88" s="151"/>
      <c r="G88" s="151"/>
      <c r="H88" s="151"/>
      <c r="I88" s="144"/>
      <c r="J88" s="144"/>
      <c r="K88" s="151"/>
      <c r="L88" s="151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spans="1:26" ht="15.75" customHeight="1" x14ac:dyDescent="0.25">
      <c r="A89" s="149"/>
      <c r="B89" s="150"/>
      <c r="C89" s="151"/>
      <c r="D89" s="151"/>
      <c r="E89" s="151"/>
      <c r="F89" s="151"/>
      <c r="G89" s="151"/>
      <c r="H89" s="151"/>
      <c r="I89" s="144"/>
      <c r="J89" s="144"/>
      <c r="K89" s="151"/>
      <c r="L89" s="151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spans="1:26" ht="15.75" customHeight="1" x14ac:dyDescent="0.25">
      <c r="A90" s="149"/>
      <c r="B90" s="150"/>
      <c r="C90" s="151"/>
      <c r="D90" s="151"/>
      <c r="E90" s="151"/>
      <c r="F90" s="151"/>
      <c r="G90" s="151"/>
      <c r="H90" s="151"/>
      <c r="I90" s="144"/>
      <c r="J90" s="144"/>
      <c r="K90" s="151"/>
      <c r="L90" s="151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spans="1:26" ht="15.75" customHeight="1" x14ac:dyDescent="0.25">
      <c r="A91" s="149"/>
      <c r="B91" s="150"/>
      <c r="C91" s="151"/>
      <c r="D91" s="151"/>
      <c r="E91" s="151"/>
      <c r="F91" s="151"/>
      <c r="G91" s="151"/>
      <c r="H91" s="151"/>
      <c r="I91" s="144"/>
      <c r="J91" s="144"/>
      <c r="K91" s="151"/>
      <c r="L91" s="151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spans="1:26" ht="15.75" customHeight="1" x14ac:dyDescent="0.25">
      <c r="A92" s="149"/>
      <c r="B92" s="150"/>
      <c r="C92" s="151"/>
      <c r="D92" s="151"/>
      <c r="E92" s="151"/>
      <c r="F92" s="151"/>
      <c r="G92" s="151"/>
      <c r="H92" s="151"/>
      <c r="I92" s="144"/>
      <c r="J92" s="144"/>
      <c r="K92" s="151"/>
      <c r="L92" s="151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spans="1:26" ht="15.75" customHeight="1" x14ac:dyDescent="0.25">
      <c r="A93" s="149"/>
      <c r="B93" s="150"/>
      <c r="C93" s="151"/>
      <c r="D93" s="151"/>
      <c r="E93" s="151"/>
      <c r="F93" s="151"/>
      <c r="G93" s="151"/>
      <c r="H93" s="151"/>
      <c r="I93" s="144"/>
      <c r="J93" s="144"/>
      <c r="K93" s="151"/>
      <c r="L93" s="151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spans="1:26" ht="15.75" customHeight="1" x14ac:dyDescent="0.25">
      <c r="A94" s="149"/>
      <c r="B94" s="150"/>
      <c r="C94" s="151"/>
      <c r="D94" s="151"/>
      <c r="E94" s="151"/>
      <c r="F94" s="151"/>
      <c r="G94" s="151"/>
      <c r="H94" s="151"/>
      <c r="I94" s="144"/>
      <c r="J94" s="144"/>
      <c r="K94" s="151"/>
      <c r="L94" s="151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spans="1:26" ht="15.75" customHeight="1" x14ac:dyDescent="0.25">
      <c r="A95" s="149"/>
      <c r="B95" s="150"/>
      <c r="C95" s="151"/>
      <c r="D95" s="151"/>
      <c r="E95" s="151"/>
      <c r="F95" s="151"/>
      <c r="G95" s="151"/>
      <c r="H95" s="151"/>
      <c r="I95" s="144"/>
      <c r="J95" s="144"/>
      <c r="K95" s="151"/>
      <c r="L95" s="151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spans="1:26" ht="15.75" customHeight="1" x14ac:dyDescent="0.25">
      <c r="A96" s="149"/>
      <c r="B96" s="150"/>
      <c r="C96" s="151"/>
      <c r="D96" s="151"/>
      <c r="E96" s="151"/>
      <c r="F96" s="151"/>
      <c r="G96" s="151"/>
      <c r="H96" s="151"/>
      <c r="I96" s="144"/>
      <c r="J96" s="144"/>
      <c r="K96" s="151"/>
      <c r="L96" s="151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spans="1:26" ht="15.75" customHeight="1" x14ac:dyDescent="0.25">
      <c r="A97" s="149"/>
      <c r="B97" s="150"/>
      <c r="C97" s="151"/>
      <c r="D97" s="151"/>
      <c r="E97" s="151"/>
      <c r="F97" s="151"/>
      <c r="G97" s="151"/>
      <c r="H97" s="151"/>
      <c r="I97" s="144"/>
      <c r="J97" s="144"/>
      <c r="K97" s="151"/>
      <c r="L97" s="151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spans="1:26" ht="15.75" customHeight="1" x14ac:dyDescent="0.25">
      <c r="A98" s="149"/>
      <c r="B98" s="150"/>
      <c r="C98" s="151"/>
      <c r="D98" s="151"/>
      <c r="E98" s="151"/>
      <c r="F98" s="151"/>
      <c r="G98" s="151"/>
      <c r="H98" s="151"/>
      <c r="I98" s="144"/>
      <c r="J98" s="144"/>
      <c r="K98" s="151"/>
      <c r="L98" s="151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spans="1:26" ht="15.75" customHeight="1" x14ac:dyDescent="0.25">
      <c r="A99" s="149"/>
      <c r="B99" s="150"/>
      <c r="C99" s="151"/>
      <c r="D99" s="151"/>
      <c r="E99" s="151"/>
      <c r="F99" s="151"/>
      <c r="G99" s="151"/>
      <c r="H99" s="151"/>
      <c r="I99" s="144"/>
      <c r="J99" s="144"/>
      <c r="K99" s="151"/>
      <c r="L99" s="151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spans="1:26" ht="15.75" customHeight="1" x14ac:dyDescent="0.25">
      <c r="A100" s="149"/>
      <c r="B100" s="150"/>
      <c r="C100" s="151"/>
      <c r="D100" s="151"/>
      <c r="E100" s="151"/>
      <c r="F100" s="151"/>
      <c r="G100" s="151"/>
      <c r="H100" s="151"/>
      <c r="I100" s="144"/>
      <c r="J100" s="144"/>
      <c r="K100" s="151"/>
      <c r="L100" s="151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spans="1:26" ht="15.75" customHeight="1" x14ac:dyDescent="0.25">
      <c r="A101" s="149"/>
      <c r="B101" s="150"/>
      <c r="C101" s="151"/>
      <c r="D101" s="151"/>
      <c r="E101" s="151"/>
      <c r="F101" s="151"/>
      <c r="G101" s="151"/>
      <c r="H101" s="151"/>
      <c r="I101" s="144"/>
      <c r="J101" s="144"/>
      <c r="K101" s="151"/>
      <c r="L101" s="151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spans="1:26" ht="15.75" customHeight="1" x14ac:dyDescent="0.25">
      <c r="A102" s="149"/>
      <c r="B102" s="150"/>
      <c r="C102" s="151"/>
      <c r="D102" s="151"/>
      <c r="E102" s="151"/>
      <c r="F102" s="151"/>
      <c r="G102" s="151"/>
      <c r="H102" s="151"/>
      <c r="I102" s="144"/>
      <c r="J102" s="144"/>
      <c r="K102" s="151"/>
      <c r="L102" s="151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spans="1:26" ht="15.75" customHeight="1" x14ac:dyDescent="0.25">
      <c r="A103" s="149"/>
      <c r="B103" s="150"/>
      <c r="C103" s="151"/>
      <c r="D103" s="151"/>
      <c r="E103" s="151"/>
      <c r="F103" s="151"/>
      <c r="G103" s="151"/>
      <c r="H103" s="151"/>
      <c r="I103" s="144"/>
      <c r="J103" s="144"/>
      <c r="K103" s="151"/>
      <c r="L103" s="151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spans="1:26" ht="15.75" customHeight="1" x14ac:dyDescent="0.25">
      <c r="A104" s="149"/>
      <c r="B104" s="150"/>
      <c r="C104" s="151"/>
      <c r="D104" s="151"/>
      <c r="E104" s="151"/>
      <c r="F104" s="151"/>
      <c r="G104" s="151"/>
      <c r="H104" s="151"/>
      <c r="I104" s="144"/>
      <c r="J104" s="144"/>
      <c r="K104" s="151"/>
      <c r="L104" s="151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spans="1:26" ht="15.75" customHeight="1" x14ac:dyDescent="0.25">
      <c r="A105" s="149"/>
      <c r="B105" s="150"/>
      <c r="C105" s="151"/>
      <c r="D105" s="151"/>
      <c r="E105" s="151"/>
      <c r="F105" s="151"/>
      <c r="G105" s="151"/>
      <c r="H105" s="151"/>
      <c r="I105" s="144"/>
      <c r="J105" s="144"/>
      <c r="K105" s="151"/>
      <c r="L105" s="151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spans="1:26" ht="15.75" customHeight="1" x14ac:dyDescent="0.25">
      <c r="A106" s="149"/>
      <c r="B106" s="150"/>
      <c r="C106" s="151"/>
      <c r="D106" s="151"/>
      <c r="E106" s="151"/>
      <c r="F106" s="151"/>
      <c r="G106" s="151"/>
      <c r="H106" s="151"/>
      <c r="I106" s="144"/>
      <c r="J106" s="144"/>
      <c r="K106" s="151"/>
      <c r="L106" s="151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spans="1:26" ht="15.75" customHeight="1" x14ac:dyDescent="0.25">
      <c r="A107" s="149"/>
      <c r="B107" s="150"/>
      <c r="C107" s="151"/>
      <c r="D107" s="151"/>
      <c r="E107" s="151"/>
      <c r="F107" s="151"/>
      <c r="G107" s="151"/>
      <c r="H107" s="151"/>
      <c r="I107" s="144"/>
      <c r="J107" s="144"/>
      <c r="K107" s="151"/>
      <c r="L107" s="151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spans="1:26" ht="15.75" customHeight="1" x14ac:dyDescent="0.25">
      <c r="A108" s="149"/>
      <c r="B108" s="150"/>
      <c r="C108" s="151"/>
      <c r="D108" s="151"/>
      <c r="E108" s="151"/>
      <c r="F108" s="151"/>
      <c r="G108" s="151"/>
      <c r="H108" s="151"/>
      <c r="I108" s="144"/>
      <c r="J108" s="144"/>
      <c r="K108" s="151"/>
      <c r="L108" s="151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spans="1:26" ht="15.75" customHeight="1" x14ac:dyDescent="0.25">
      <c r="A109" s="149"/>
      <c r="B109" s="150"/>
      <c r="C109" s="151"/>
      <c r="D109" s="151"/>
      <c r="E109" s="151"/>
      <c r="F109" s="151"/>
      <c r="G109" s="151"/>
      <c r="H109" s="151"/>
      <c r="I109" s="144"/>
      <c r="J109" s="144"/>
      <c r="K109" s="151"/>
      <c r="L109" s="151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1:26" ht="15.75" customHeight="1" x14ac:dyDescent="0.25">
      <c r="A110" s="149"/>
      <c r="B110" s="150"/>
      <c r="C110" s="151"/>
      <c r="D110" s="151"/>
      <c r="E110" s="151"/>
      <c r="F110" s="151"/>
      <c r="G110" s="151"/>
      <c r="H110" s="151"/>
      <c r="I110" s="144"/>
      <c r="J110" s="144"/>
      <c r="K110" s="151"/>
      <c r="L110" s="151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spans="1:26" ht="15.75" customHeight="1" x14ac:dyDescent="0.25">
      <c r="A111" s="149"/>
      <c r="B111" s="150"/>
      <c r="C111" s="151"/>
      <c r="D111" s="151"/>
      <c r="E111" s="151"/>
      <c r="F111" s="151"/>
      <c r="G111" s="151"/>
      <c r="H111" s="151"/>
      <c r="I111" s="144"/>
      <c r="J111" s="144"/>
      <c r="K111" s="151"/>
      <c r="L111" s="151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spans="1:26" ht="15.75" customHeight="1" x14ac:dyDescent="0.25">
      <c r="A112" s="149"/>
      <c r="B112" s="150"/>
      <c r="C112" s="151"/>
      <c r="D112" s="151"/>
      <c r="E112" s="151"/>
      <c r="F112" s="151"/>
      <c r="G112" s="151"/>
      <c r="H112" s="151"/>
      <c r="I112" s="144"/>
      <c r="J112" s="144"/>
      <c r="K112" s="151"/>
      <c r="L112" s="151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spans="1:26" ht="15.75" customHeight="1" x14ac:dyDescent="0.25">
      <c r="A113" s="149"/>
      <c r="B113" s="150"/>
      <c r="C113" s="151"/>
      <c r="D113" s="151"/>
      <c r="E113" s="151"/>
      <c r="F113" s="151"/>
      <c r="G113" s="151"/>
      <c r="H113" s="151"/>
      <c r="I113" s="144"/>
      <c r="J113" s="144"/>
      <c r="K113" s="151"/>
      <c r="L113" s="151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spans="1:26" ht="15.75" customHeight="1" x14ac:dyDescent="0.25">
      <c r="A114" s="149"/>
      <c r="B114" s="150"/>
      <c r="C114" s="151"/>
      <c r="D114" s="151"/>
      <c r="E114" s="151"/>
      <c r="F114" s="151"/>
      <c r="G114" s="151"/>
      <c r="H114" s="151"/>
      <c r="I114" s="144"/>
      <c r="J114" s="144"/>
      <c r="K114" s="151"/>
      <c r="L114" s="151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spans="1:26" ht="15.75" customHeight="1" x14ac:dyDescent="0.25">
      <c r="A115" s="149"/>
      <c r="B115" s="150"/>
      <c r="C115" s="151"/>
      <c r="D115" s="151"/>
      <c r="E115" s="151"/>
      <c r="F115" s="151"/>
      <c r="G115" s="151"/>
      <c r="H115" s="151"/>
      <c r="I115" s="144"/>
      <c r="J115" s="144"/>
      <c r="K115" s="151"/>
      <c r="L115" s="151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spans="1:26" ht="15.75" customHeight="1" x14ac:dyDescent="0.25">
      <c r="A116" s="149"/>
      <c r="B116" s="150"/>
      <c r="C116" s="151"/>
      <c r="D116" s="151"/>
      <c r="E116" s="151"/>
      <c r="F116" s="151"/>
      <c r="G116" s="151"/>
      <c r="H116" s="151"/>
      <c r="I116" s="144"/>
      <c r="J116" s="144"/>
      <c r="K116" s="151"/>
      <c r="L116" s="151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spans="1:26" ht="15.75" customHeight="1" x14ac:dyDescent="0.25">
      <c r="A117" s="149"/>
      <c r="B117" s="150"/>
      <c r="C117" s="151"/>
      <c r="D117" s="151"/>
      <c r="E117" s="151"/>
      <c r="F117" s="151"/>
      <c r="G117" s="151"/>
      <c r="H117" s="151"/>
      <c r="I117" s="144"/>
      <c r="J117" s="144"/>
      <c r="K117" s="151"/>
      <c r="L117" s="151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spans="1:26" ht="15.75" customHeight="1" x14ac:dyDescent="0.25">
      <c r="A118" s="149"/>
      <c r="B118" s="150"/>
      <c r="C118" s="151"/>
      <c r="D118" s="151"/>
      <c r="E118" s="151"/>
      <c r="F118" s="151"/>
      <c r="G118" s="151"/>
      <c r="H118" s="151"/>
      <c r="I118" s="144"/>
      <c r="J118" s="144"/>
      <c r="K118" s="151"/>
      <c r="L118" s="151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spans="1:26" ht="15.75" customHeight="1" x14ac:dyDescent="0.25">
      <c r="A119" s="149"/>
      <c r="B119" s="150"/>
      <c r="C119" s="151"/>
      <c r="D119" s="151"/>
      <c r="E119" s="151"/>
      <c r="F119" s="151"/>
      <c r="G119" s="151"/>
      <c r="H119" s="151"/>
      <c r="I119" s="144"/>
      <c r="J119" s="144"/>
      <c r="K119" s="151"/>
      <c r="L119" s="151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spans="1:26" ht="15.75" customHeight="1" x14ac:dyDescent="0.25">
      <c r="A120" s="149"/>
      <c r="B120" s="150"/>
      <c r="C120" s="151"/>
      <c r="D120" s="151"/>
      <c r="E120" s="151"/>
      <c r="F120" s="151"/>
      <c r="G120" s="151"/>
      <c r="H120" s="151"/>
      <c r="I120" s="144"/>
      <c r="J120" s="144"/>
      <c r="K120" s="151"/>
      <c r="L120" s="151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spans="1:26" ht="15.75" customHeight="1" x14ac:dyDescent="0.25">
      <c r="A121" s="149"/>
      <c r="B121" s="150"/>
      <c r="C121" s="151"/>
      <c r="D121" s="151"/>
      <c r="E121" s="151"/>
      <c r="F121" s="151"/>
      <c r="G121" s="151"/>
      <c r="H121" s="151"/>
      <c r="I121" s="144"/>
      <c r="J121" s="144"/>
      <c r="K121" s="151"/>
      <c r="L121" s="151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spans="1:26" ht="15.75" customHeight="1" x14ac:dyDescent="0.25">
      <c r="A122" s="149"/>
      <c r="B122" s="150"/>
      <c r="C122" s="151"/>
      <c r="D122" s="151"/>
      <c r="E122" s="151"/>
      <c r="F122" s="151"/>
      <c r="G122" s="151"/>
      <c r="H122" s="151"/>
      <c r="I122" s="144"/>
      <c r="J122" s="144"/>
      <c r="K122" s="151"/>
      <c r="L122" s="151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spans="1:26" ht="15.75" customHeight="1" x14ac:dyDescent="0.25">
      <c r="A123" s="149"/>
      <c r="B123" s="150"/>
      <c r="C123" s="151"/>
      <c r="D123" s="151"/>
      <c r="E123" s="151"/>
      <c r="F123" s="151"/>
      <c r="G123" s="151"/>
      <c r="H123" s="151"/>
      <c r="I123" s="144"/>
      <c r="J123" s="144"/>
      <c r="K123" s="151"/>
      <c r="L123" s="151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spans="1:26" ht="15.75" customHeight="1" x14ac:dyDescent="0.25">
      <c r="A124" s="149"/>
      <c r="B124" s="150"/>
      <c r="C124" s="151"/>
      <c r="D124" s="151"/>
      <c r="E124" s="151"/>
      <c r="F124" s="151"/>
      <c r="G124" s="151"/>
      <c r="H124" s="151"/>
      <c r="I124" s="144"/>
      <c r="J124" s="144"/>
      <c r="K124" s="151"/>
      <c r="L124" s="151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spans="1:26" ht="15.75" customHeight="1" x14ac:dyDescent="0.25">
      <c r="A125" s="149"/>
      <c r="B125" s="150"/>
      <c r="C125" s="151"/>
      <c r="D125" s="151"/>
      <c r="E125" s="151"/>
      <c r="F125" s="151"/>
      <c r="G125" s="151"/>
      <c r="H125" s="151"/>
      <c r="I125" s="144"/>
      <c r="J125" s="144"/>
      <c r="K125" s="151"/>
      <c r="L125" s="151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spans="1:26" ht="15.75" customHeight="1" x14ac:dyDescent="0.25">
      <c r="A126" s="149"/>
      <c r="B126" s="150"/>
      <c r="C126" s="151"/>
      <c r="D126" s="151"/>
      <c r="E126" s="151"/>
      <c r="F126" s="151"/>
      <c r="G126" s="151"/>
      <c r="H126" s="151"/>
      <c r="I126" s="144"/>
      <c r="J126" s="144"/>
      <c r="K126" s="151"/>
      <c r="L126" s="151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spans="1:26" ht="15.75" customHeight="1" x14ac:dyDescent="0.25">
      <c r="A127" s="149"/>
      <c r="B127" s="150"/>
      <c r="C127" s="151"/>
      <c r="D127" s="151"/>
      <c r="E127" s="151"/>
      <c r="F127" s="151"/>
      <c r="G127" s="151"/>
      <c r="H127" s="151"/>
      <c r="I127" s="144"/>
      <c r="J127" s="144"/>
      <c r="K127" s="151"/>
      <c r="L127" s="151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spans="1:26" ht="15.75" customHeight="1" x14ac:dyDescent="0.25">
      <c r="A128" s="149"/>
      <c r="B128" s="150"/>
      <c r="C128" s="151"/>
      <c r="D128" s="151"/>
      <c r="E128" s="151"/>
      <c r="F128" s="151"/>
      <c r="G128" s="151"/>
      <c r="H128" s="151"/>
      <c r="I128" s="144"/>
      <c r="J128" s="144"/>
      <c r="K128" s="151"/>
      <c r="L128" s="151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spans="1:26" ht="15.75" customHeight="1" x14ac:dyDescent="0.25">
      <c r="A129" s="149"/>
      <c r="B129" s="150"/>
      <c r="C129" s="151"/>
      <c r="D129" s="151"/>
      <c r="E129" s="151"/>
      <c r="F129" s="151"/>
      <c r="G129" s="151"/>
      <c r="H129" s="151"/>
      <c r="I129" s="144"/>
      <c r="J129" s="144"/>
      <c r="K129" s="151"/>
      <c r="L129" s="151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spans="1:26" ht="15.75" customHeight="1" x14ac:dyDescent="0.25">
      <c r="A130" s="149"/>
      <c r="B130" s="150"/>
      <c r="C130" s="151"/>
      <c r="D130" s="151"/>
      <c r="E130" s="151"/>
      <c r="F130" s="151"/>
      <c r="G130" s="151"/>
      <c r="H130" s="151"/>
      <c r="I130" s="144"/>
      <c r="J130" s="144"/>
      <c r="K130" s="151"/>
      <c r="L130" s="151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spans="1:26" ht="15.75" customHeight="1" x14ac:dyDescent="0.25">
      <c r="A131" s="149"/>
      <c r="B131" s="150"/>
      <c r="C131" s="151"/>
      <c r="D131" s="151"/>
      <c r="E131" s="151"/>
      <c r="F131" s="151"/>
      <c r="G131" s="151"/>
      <c r="H131" s="151"/>
      <c r="I131" s="144"/>
      <c r="J131" s="144"/>
      <c r="K131" s="151"/>
      <c r="L131" s="151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spans="1:26" ht="15.75" customHeight="1" x14ac:dyDescent="0.25">
      <c r="A132" s="149"/>
      <c r="B132" s="150"/>
      <c r="C132" s="151"/>
      <c r="D132" s="151"/>
      <c r="E132" s="151"/>
      <c r="F132" s="151"/>
      <c r="G132" s="151"/>
      <c r="H132" s="151"/>
      <c r="I132" s="144"/>
      <c r="J132" s="144"/>
      <c r="K132" s="151"/>
      <c r="L132" s="151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spans="1:26" ht="15.75" customHeight="1" x14ac:dyDescent="0.25">
      <c r="A133" s="149"/>
      <c r="B133" s="150"/>
      <c r="C133" s="151"/>
      <c r="D133" s="151"/>
      <c r="E133" s="151"/>
      <c r="F133" s="151"/>
      <c r="G133" s="151"/>
      <c r="H133" s="151"/>
      <c r="I133" s="144"/>
      <c r="J133" s="144"/>
      <c r="K133" s="151"/>
      <c r="L133" s="151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spans="1:26" ht="15.75" customHeight="1" x14ac:dyDescent="0.25">
      <c r="A134" s="149"/>
      <c r="B134" s="150"/>
      <c r="C134" s="151"/>
      <c r="D134" s="151"/>
      <c r="E134" s="151"/>
      <c r="F134" s="151"/>
      <c r="G134" s="151"/>
      <c r="H134" s="151"/>
      <c r="I134" s="144"/>
      <c r="J134" s="144"/>
      <c r="K134" s="151"/>
      <c r="L134" s="151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spans="1:26" ht="15.75" customHeight="1" x14ac:dyDescent="0.25">
      <c r="A135" s="149"/>
      <c r="B135" s="150"/>
      <c r="C135" s="151"/>
      <c r="D135" s="151"/>
      <c r="E135" s="151"/>
      <c r="F135" s="151"/>
      <c r="G135" s="151"/>
      <c r="H135" s="151"/>
      <c r="I135" s="144"/>
      <c r="J135" s="144"/>
      <c r="K135" s="151"/>
      <c r="L135" s="151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spans="1:26" ht="15.75" customHeight="1" x14ac:dyDescent="0.25">
      <c r="A136" s="149"/>
      <c r="B136" s="150"/>
      <c r="C136" s="151"/>
      <c r="D136" s="151"/>
      <c r="E136" s="151"/>
      <c r="F136" s="151"/>
      <c r="G136" s="151"/>
      <c r="H136" s="151"/>
      <c r="I136" s="144"/>
      <c r="J136" s="144"/>
      <c r="K136" s="151"/>
      <c r="L136" s="151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spans="1:26" ht="15.75" customHeight="1" x14ac:dyDescent="0.25">
      <c r="A137" s="149"/>
      <c r="B137" s="150"/>
      <c r="C137" s="151"/>
      <c r="D137" s="151"/>
      <c r="E137" s="151"/>
      <c r="F137" s="151"/>
      <c r="G137" s="151"/>
      <c r="H137" s="151"/>
      <c r="I137" s="144"/>
      <c r="J137" s="144"/>
      <c r="K137" s="151"/>
      <c r="L137" s="151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spans="1:26" ht="15.75" customHeight="1" x14ac:dyDescent="0.25">
      <c r="A138" s="149"/>
      <c r="B138" s="150"/>
      <c r="C138" s="151"/>
      <c r="D138" s="151"/>
      <c r="E138" s="151"/>
      <c r="F138" s="151"/>
      <c r="G138" s="151"/>
      <c r="H138" s="151"/>
      <c r="I138" s="144"/>
      <c r="J138" s="144"/>
      <c r="K138" s="151"/>
      <c r="L138" s="151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spans="1:26" ht="15.75" customHeight="1" x14ac:dyDescent="0.25">
      <c r="A139" s="149"/>
      <c r="B139" s="150"/>
      <c r="C139" s="151"/>
      <c r="D139" s="151"/>
      <c r="E139" s="151"/>
      <c r="F139" s="151"/>
      <c r="G139" s="151"/>
      <c r="H139" s="151"/>
      <c r="I139" s="144"/>
      <c r="J139" s="144"/>
      <c r="K139" s="151"/>
      <c r="L139" s="151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spans="1:26" ht="15.75" customHeight="1" x14ac:dyDescent="0.25">
      <c r="A140" s="149"/>
      <c r="B140" s="150"/>
      <c r="C140" s="151"/>
      <c r="D140" s="151"/>
      <c r="E140" s="151"/>
      <c r="F140" s="151"/>
      <c r="G140" s="151"/>
      <c r="H140" s="151"/>
      <c r="I140" s="144"/>
      <c r="J140" s="144"/>
      <c r="K140" s="151"/>
      <c r="L140" s="151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spans="1:26" ht="15.75" customHeight="1" x14ac:dyDescent="0.25">
      <c r="A141" s="149"/>
      <c r="B141" s="150"/>
      <c r="C141" s="151"/>
      <c r="D141" s="151"/>
      <c r="E141" s="151"/>
      <c r="F141" s="151"/>
      <c r="G141" s="151"/>
      <c r="H141" s="151"/>
      <c r="I141" s="144"/>
      <c r="J141" s="144"/>
      <c r="K141" s="151"/>
      <c r="L141" s="151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spans="1:26" ht="15.75" customHeight="1" x14ac:dyDescent="0.25">
      <c r="A142" s="149"/>
      <c r="B142" s="150"/>
      <c r="C142" s="151"/>
      <c r="D142" s="151"/>
      <c r="E142" s="151"/>
      <c r="F142" s="151"/>
      <c r="G142" s="151"/>
      <c r="H142" s="151"/>
      <c r="I142" s="144"/>
      <c r="J142" s="144"/>
      <c r="K142" s="151"/>
      <c r="L142" s="151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spans="1:26" ht="15.75" customHeight="1" x14ac:dyDescent="0.25">
      <c r="A143" s="149"/>
      <c r="B143" s="150"/>
      <c r="C143" s="151"/>
      <c r="D143" s="151"/>
      <c r="E143" s="151"/>
      <c r="F143" s="151"/>
      <c r="G143" s="151"/>
      <c r="H143" s="151"/>
      <c r="I143" s="144"/>
      <c r="J143" s="144"/>
      <c r="K143" s="151"/>
      <c r="L143" s="151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spans="1:26" ht="15.75" customHeight="1" x14ac:dyDescent="0.25">
      <c r="A144" s="149"/>
      <c r="B144" s="150"/>
      <c r="C144" s="151"/>
      <c r="D144" s="151"/>
      <c r="E144" s="151"/>
      <c r="F144" s="151"/>
      <c r="G144" s="151"/>
      <c r="H144" s="151"/>
      <c r="I144" s="144"/>
      <c r="J144" s="144"/>
      <c r="K144" s="151"/>
      <c r="L144" s="151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spans="1:26" ht="15.75" customHeight="1" x14ac:dyDescent="0.25">
      <c r="A145" s="149"/>
      <c r="B145" s="150"/>
      <c r="C145" s="151"/>
      <c r="D145" s="151"/>
      <c r="E145" s="151"/>
      <c r="F145" s="151"/>
      <c r="G145" s="151"/>
      <c r="H145" s="151"/>
      <c r="I145" s="144"/>
      <c r="J145" s="144"/>
      <c r="K145" s="151"/>
      <c r="L145" s="151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spans="1:26" ht="15.75" customHeight="1" x14ac:dyDescent="0.25">
      <c r="A146" s="149"/>
      <c r="B146" s="150"/>
      <c r="C146" s="151"/>
      <c r="D146" s="151"/>
      <c r="E146" s="151"/>
      <c r="F146" s="151"/>
      <c r="G146" s="151"/>
      <c r="H146" s="151"/>
      <c r="I146" s="144"/>
      <c r="J146" s="144"/>
      <c r="K146" s="151"/>
      <c r="L146" s="151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spans="1:26" ht="15.75" customHeight="1" x14ac:dyDescent="0.25">
      <c r="A147" s="149"/>
      <c r="B147" s="150"/>
      <c r="C147" s="151"/>
      <c r="D147" s="151"/>
      <c r="E147" s="151"/>
      <c r="F147" s="151"/>
      <c r="G147" s="151"/>
      <c r="H147" s="151"/>
      <c r="I147" s="144"/>
      <c r="J147" s="144"/>
      <c r="K147" s="151"/>
      <c r="L147" s="151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spans="1:26" ht="15.75" customHeight="1" x14ac:dyDescent="0.25">
      <c r="A148" s="149"/>
      <c r="B148" s="150"/>
      <c r="C148" s="151"/>
      <c r="D148" s="151"/>
      <c r="E148" s="151"/>
      <c r="F148" s="151"/>
      <c r="G148" s="151"/>
      <c r="H148" s="151"/>
      <c r="I148" s="144"/>
      <c r="J148" s="144"/>
      <c r="K148" s="151"/>
      <c r="L148" s="151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spans="1:26" ht="15.75" customHeight="1" x14ac:dyDescent="0.25">
      <c r="A149" s="149"/>
      <c r="B149" s="150"/>
      <c r="C149" s="151"/>
      <c r="D149" s="151"/>
      <c r="E149" s="151"/>
      <c r="F149" s="151"/>
      <c r="G149" s="151"/>
      <c r="H149" s="151"/>
      <c r="I149" s="144"/>
      <c r="J149" s="144"/>
      <c r="K149" s="151"/>
      <c r="L149" s="151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spans="1:26" ht="15.75" customHeight="1" x14ac:dyDescent="0.25">
      <c r="A150" s="149"/>
      <c r="B150" s="150"/>
      <c r="C150" s="151"/>
      <c r="D150" s="151"/>
      <c r="E150" s="151"/>
      <c r="F150" s="151"/>
      <c r="G150" s="151"/>
      <c r="H150" s="151"/>
      <c r="I150" s="144"/>
      <c r="J150" s="144"/>
      <c r="K150" s="151"/>
      <c r="L150" s="151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spans="1:26" ht="15.75" customHeight="1" x14ac:dyDescent="0.25">
      <c r="A151" s="149"/>
      <c r="B151" s="150"/>
      <c r="C151" s="151"/>
      <c r="D151" s="151"/>
      <c r="E151" s="151"/>
      <c r="F151" s="151"/>
      <c r="G151" s="151"/>
      <c r="H151" s="151"/>
      <c r="I151" s="144"/>
      <c r="J151" s="144"/>
      <c r="K151" s="151"/>
      <c r="L151" s="151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spans="1:26" ht="15.75" customHeight="1" x14ac:dyDescent="0.25">
      <c r="A152" s="149"/>
      <c r="B152" s="150"/>
      <c r="C152" s="151"/>
      <c r="D152" s="151"/>
      <c r="E152" s="151"/>
      <c r="F152" s="151"/>
      <c r="G152" s="151"/>
      <c r="H152" s="151"/>
      <c r="I152" s="144"/>
      <c r="J152" s="144"/>
      <c r="K152" s="151"/>
      <c r="L152" s="151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spans="1:26" ht="15.75" customHeight="1" x14ac:dyDescent="0.25">
      <c r="A153" s="149"/>
      <c r="B153" s="150"/>
      <c r="C153" s="151"/>
      <c r="D153" s="151"/>
      <c r="E153" s="151"/>
      <c r="F153" s="151"/>
      <c r="G153" s="151"/>
      <c r="H153" s="151"/>
      <c r="I153" s="144"/>
      <c r="J153" s="144"/>
      <c r="K153" s="151"/>
      <c r="L153" s="151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spans="1:26" ht="15.75" customHeight="1" x14ac:dyDescent="0.25">
      <c r="A154" s="149"/>
      <c r="B154" s="150"/>
      <c r="C154" s="151"/>
      <c r="D154" s="151"/>
      <c r="E154" s="151"/>
      <c r="F154" s="151"/>
      <c r="G154" s="151"/>
      <c r="H154" s="151"/>
      <c r="I154" s="144"/>
      <c r="J154" s="144"/>
      <c r="K154" s="151"/>
      <c r="L154" s="151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spans="1:26" ht="15.75" customHeight="1" x14ac:dyDescent="0.25">
      <c r="A155" s="149"/>
      <c r="B155" s="150"/>
      <c r="C155" s="151"/>
      <c r="D155" s="151"/>
      <c r="E155" s="151"/>
      <c r="F155" s="151"/>
      <c r="G155" s="151"/>
      <c r="H155" s="151"/>
      <c r="I155" s="144"/>
      <c r="J155" s="144"/>
      <c r="K155" s="151"/>
      <c r="L155" s="151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spans="1:26" ht="15.75" customHeight="1" x14ac:dyDescent="0.25">
      <c r="A156" s="149"/>
      <c r="B156" s="150"/>
      <c r="C156" s="151"/>
      <c r="D156" s="151"/>
      <c r="E156" s="151"/>
      <c r="F156" s="151"/>
      <c r="G156" s="151"/>
      <c r="H156" s="151"/>
      <c r="I156" s="144"/>
      <c r="J156" s="144"/>
      <c r="K156" s="151"/>
      <c r="L156" s="151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spans="1:26" ht="15.75" customHeight="1" x14ac:dyDescent="0.25">
      <c r="A157" s="149"/>
      <c r="B157" s="150"/>
      <c r="C157" s="151"/>
      <c r="D157" s="151"/>
      <c r="E157" s="151"/>
      <c r="F157" s="151"/>
      <c r="G157" s="151"/>
      <c r="H157" s="151"/>
      <c r="I157" s="144"/>
      <c r="J157" s="144"/>
      <c r="K157" s="151"/>
      <c r="L157" s="151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spans="1:26" ht="15.75" customHeight="1" x14ac:dyDescent="0.25">
      <c r="A158" s="149"/>
      <c r="B158" s="150"/>
      <c r="C158" s="151"/>
      <c r="D158" s="151"/>
      <c r="E158" s="151"/>
      <c r="F158" s="151"/>
      <c r="G158" s="151"/>
      <c r="H158" s="151"/>
      <c r="I158" s="144"/>
      <c r="J158" s="144"/>
      <c r="K158" s="151"/>
      <c r="L158" s="151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spans="1:26" ht="15.75" customHeight="1" x14ac:dyDescent="0.25">
      <c r="A159" s="149"/>
      <c r="B159" s="150"/>
      <c r="C159" s="151"/>
      <c r="D159" s="151"/>
      <c r="E159" s="151"/>
      <c r="F159" s="151"/>
      <c r="G159" s="151"/>
      <c r="H159" s="151"/>
      <c r="I159" s="144"/>
      <c r="J159" s="144"/>
      <c r="K159" s="151"/>
      <c r="L159" s="151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spans="1:26" ht="15.75" customHeight="1" x14ac:dyDescent="0.25">
      <c r="A160" s="149"/>
      <c r="B160" s="150"/>
      <c r="C160" s="151"/>
      <c r="D160" s="151"/>
      <c r="E160" s="151"/>
      <c r="F160" s="151"/>
      <c r="G160" s="151"/>
      <c r="H160" s="151"/>
      <c r="I160" s="144"/>
      <c r="J160" s="144"/>
      <c r="K160" s="151"/>
      <c r="L160" s="151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spans="1:26" ht="15.75" customHeight="1" x14ac:dyDescent="0.25">
      <c r="A161" s="149"/>
      <c r="B161" s="150"/>
      <c r="C161" s="151"/>
      <c r="D161" s="151"/>
      <c r="E161" s="151"/>
      <c r="F161" s="151"/>
      <c r="G161" s="151"/>
      <c r="H161" s="151"/>
      <c r="I161" s="144"/>
      <c r="J161" s="144"/>
      <c r="K161" s="151"/>
      <c r="L161" s="151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spans="1:26" ht="15.75" customHeight="1" x14ac:dyDescent="0.25">
      <c r="A162" s="149"/>
      <c r="B162" s="150"/>
      <c r="C162" s="151"/>
      <c r="D162" s="151"/>
      <c r="E162" s="151"/>
      <c r="F162" s="151"/>
      <c r="G162" s="151"/>
      <c r="H162" s="151"/>
      <c r="I162" s="144"/>
      <c r="J162" s="144"/>
      <c r="K162" s="151"/>
      <c r="L162" s="151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spans="1:26" ht="15.75" customHeight="1" x14ac:dyDescent="0.25">
      <c r="A163" s="149"/>
      <c r="B163" s="150"/>
      <c r="C163" s="151"/>
      <c r="D163" s="151"/>
      <c r="E163" s="151"/>
      <c r="F163" s="151"/>
      <c r="G163" s="151"/>
      <c r="H163" s="151"/>
      <c r="I163" s="144"/>
      <c r="J163" s="144"/>
      <c r="K163" s="151"/>
      <c r="L163" s="151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spans="1:26" ht="15.75" customHeight="1" x14ac:dyDescent="0.25">
      <c r="A164" s="149"/>
      <c r="B164" s="150"/>
      <c r="C164" s="151"/>
      <c r="D164" s="151"/>
      <c r="E164" s="151"/>
      <c r="F164" s="151"/>
      <c r="G164" s="151"/>
      <c r="H164" s="151"/>
      <c r="I164" s="144"/>
      <c r="J164" s="144"/>
      <c r="K164" s="151"/>
      <c r="L164" s="151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spans="1:26" ht="15.75" customHeight="1" x14ac:dyDescent="0.25">
      <c r="A165" s="149"/>
      <c r="B165" s="150"/>
      <c r="C165" s="151"/>
      <c r="D165" s="151"/>
      <c r="E165" s="151"/>
      <c r="F165" s="151"/>
      <c r="G165" s="151"/>
      <c r="H165" s="151"/>
      <c r="I165" s="144"/>
      <c r="J165" s="144"/>
      <c r="K165" s="151"/>
      <c r="L165" s="151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spans="1:26" ht="15.75" customHeight="1" x14ac:dyDescent="0.25">
      <c r="A166" s="149"/>
      <c r="B166" s="150"/>
      <c r="C166" s="151"/>
      <c r="D166" s="151"/>
      <c r="E166" s="151"/>
      <c r="F166" s="151"/>
      <c r="G166" s="151"/>
      <c r="H166" s="151"/>
      <c r="I166" s="144"/>
      <c r="J166" s="144"/>
      <c r="K166" s="151"/>
      <c r="L166" s="151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spans="1:26" ht="15.75" customHeight="1" x14ac:dyDescent="0.25">
      <c r="A167" s="149"/>
      <c r="B167" s="150"/>
      <c r="C167" s="151"/>
      <c r="D167" s="151"/>
      <c r="E167" s="151"/>
      <c r="F167" s="151"/>
      <c r="G167" s="151"/>
      <c r="H167" s="151"/>
      <c r="I167" s="144"/>
      <c r="J167" s="144"/>
      <c r="K167" s="151"/>
      <c r="L167" s="151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spans="1:26" ht="15.75" customHeight="1" x14ac:dyDescent="0.25">
      <c r="A168" s="149"/>
      <c r="B168" s="150"/>
      <c r="C168" s="151"/>
      <c r="D168" s="151"/>
      <c r="E168" s="151"/>
      <c r="F168" s="151"/>
      <c r="G168" s="151"/>
      <c r="H168" s="151"/>
      <c r="I168" s="144"/>
      <c r="J168" s="144"/>
      <c r="K168" s="151"/>
      <c r="L168" s="151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spans="1:26" ht="15.75" customHeight="1" x14ac:dyDescent="0.25">
      <c r="A169" s="149"/>
      <c r="B169" s="150"/>
      <c r="C169" s="151"/>
      <c r="D169" s="151"/>
      <c r="E169" s="151"/>
      <c r="F169" s="151"/>
      <c r="G169" s="151"/>
      <c r="H169" s="151"/>
      <c r="I169" s="144"/>
      <c r="J169" s="144"/>
      <c r="K169" s="151"/>
      <c r="L169" s="151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spans="1:26" ht="15.75" customHeight="1" x14ac:dyDescent="0.25">
      <c r="A170" s="149"/>
      <c r="B170" s="150"/>
      <c r="C170" s="151"/>
      <c r="D170" s="151"/>
      <c r="E170" s="151"/>
      <c r="F170" s="151"/>
      <c r="G170" s="151"/>
      <c r="H170" s="151"/>
      <c r="I170" s="144"/>
      <c r="J170" s="144"/>
      <c r="K170" s="151"/>
      <c r="L170" s="151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spans="1:26" ht="15.75" customHeight="1" x14ac:dyDescent="0.25">
      <c r="A171" s="149"/>
      <c r="B171" s="150"/>
      <c r="C171" s="151"/>
      <c r="D171" s="151"/>
      <c r="E171" s="151"/>
      <c r="F171" s="151"/>
      <c r="G171" s="151"/>
      <c r="H171" s="151"/>
      <c r="I171" s="144"/>
      <c r="J171" s="144"/>
      <c r="K171" s="151"/>
      <c r="L171" s="151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spans="1:26" ht="15.75" customHeight="1" x14ac:dyDescent="0.25">
      <c r="A172" s="149"/>
      <c r="B172" s="150"/>
      <c r="C172" s="151"/>
      <c r="D172" s="151"/>
      <c r="E172" s="151"/>
      <c r="F172" s="151"/>
      <c r="G172" s="151"/>
      <c r="H172" s="151"/>
      <c r="I172" s="144"/>
      <c r="J172" s="144"/>
      <c r="K172" s="151"/>
      <c r="L172" s="151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spans="1:26" ht="15.75" customHeight="1" x14ac:dyDescent="0.25">
      <c r="A173" s="149"/>
      <c r="B173" s="150"/>
      <c r="C173" s="151"/>
      <c r="D173" s="151"/>
      <c r="E173" s="151"/>
      <c r="F173" s="151"/>
      <c r="G173" s="151"/>
      <c r="H173" s="151"/>
      <c r="I173" s="144"/>
      <c r="J173" s="144"/>
      <c r="K173" s="151"/>
      <c r="L173" s="151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spans="1:26" ht="15.75" customHeight="1" x14ac:dyDescent="0.25">
      <c r="A174" s="149"/>
      <c r="B174" s="150"/>
      <c r="C174" s="151"/>
      <c r="D174" s="151"/>
      <c r="E174" s="151"/>
      <c r="F174" s="151"/>
      <c r="G174" s="151"/>
      <c r="H174" s="151"/>
      <c r="I174" s="144"/>
      <c r="J174" s="144"/>
      <c r="K174" s="151"/>
      <c r="L174" s="151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spans="1:26" ht="15.75" customHeight="1" x14ac:dyDescent="0.25">
      <c r="A175" s="149"/>
      <c r="B175" s="150"/>
      <c r="C175" s="151"/>
      <c r="D175" s="151"/>
      <c r="E175" s="151"/>
      <c r="F175" s="151"/>
      <c r="G175" s="151"/>
      <c r="H175" s="151"/>
      <c r="I175" s="144"/>
      <c r="J175" s="144"/>
      <c r="K175" s="151"/>
      <c r="L175" s="151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spans="1:26" ht="15.75" customHeight="1" x14ac:dyDescent="0.25">
      <c r="A176" s="149"/>
      <c r="B176" s="150"/>
      <c r="C176" s="151"/>
      <c r="D176" s="151"/>
      <c r="E176" s="151"/>
      <c r="F176" s="151"/>
      <c r="G176" s="151"/>
      <c r="H176" s="151"/>
      <c r="I176" s="144"/>
      <c r="J176" s="144"/>
      <c r="K176" s="151"/>
      <c r="L176" s="151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spans="1:26" ht="15.75" customHeight="1" x14ac:dyDescent="0.25">
      <c r="A177" s="149"/>
      <c r="B177" s="150"/>
      <c r="C177" s="151"/>
      <c r="D177" s="151"/>
      <c r="E177" s="151"/>
      <c r="F177" s="151"/>
      <c r="G177" s="151"/>
      <c r="H177" s="151"/>
      <c r="I177" s="144"/>
      <c r="J177" s="144"/>
      <c r="K177" s="151"/>
      <c r="L177" s="151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spans="1:26" ht="15.75" customHeight="1" x14ac:dyDescent="0.25">
      <c r="A178" s="149"/>
      <c r="B178" s="150"/>
      <c r="C178" s="151"/>
      <c r="D178" s="151"/>
      <c r="E178" s="151"/>
      <c r="F178" s="151"/>
      <c r="G178" s="151"/>
      <c r="H178" s="151"/>
      <c r="I178" s="144"/>
      <c r="J178" s="144"/>
      <c r="K178" s="151"/>
      <c r="L178" s="151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spans="1:26" ht="15.75" customHeight="1" x14ac:dyDescent="0.25">
      <c r="A179" s="149"/>
      <c r="B179" s="150"/>
      <c r="C179" s="151"/>
      <c r="D179" s="151"/>
      <c r="E179" s="151"/>
      <c r="F179" s="151"/>
      <c r="G179" s="151"/>
      <c r="H179" s="151"/>
      <c r="I179" s="144"/>
      <c r="J179" s="144"/>
      <c r="K179" s="151"/>
      <c r="L179" s="151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spans="1:26" ht="15.75" customHeight="1" x14ac:dyDescent="0.25">
      <c r="A180" s="149"/>
      <c r="B180" s="150"/>
      <c r="C180" s="151"/>
      <c r="D180" s="151"/>
      <c r="E180" s="151"/>
      <c r="F180" s="151"/>
      <c r="G180" s="151"/>
      <c r="H180" s="151"/>
      <c r="I180" s="144"/>
      <c r="J180" s="144"/>
      <c r="K180" s="151"/>
      <c r="L180" s="151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spans="1:26" ht="15.75" customHeight="1" x14ac:dyDescent="0.25">
      <c r="A181" s="149"/>
      <c r="B181" s="150"/>
      <c r="C181" s="151"/>
      <c r="D181" s="151"/>
      <c r="E181" s="151"/>
      <c r="F181" s="151"/>
      <c r="G181" s="151"/>
      <c r="H181" s="151"/>
      <c r="I181" s="144"/>
      <c r="J181" s="144"/>
      <c r="K181" s="151"/>
      <c r="L181" s="151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spans="1:26" ht="15.75" customHeight="1" x14ac:dyDescent="0.25">
      <c r="A182" s="149"/>
      <c r="B182" s="150"/>
      <c r="C182" s="151"/>
      <c r="D182" s="151"/>
      <c r="E182" s="151"/>
      <c r="F182" s="151"/>
      <c r="G182" s="151"/>
      <c r="H182" s="151"/>
      <c r="I182" s="144"/>
      <c r="J182" s="144"/>
      <c r="K182" s="151"/>
      <c r="L182" s="151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spans="1:26" ht="15.75" customHeight="1" x14ac:dyDescent="0.25">
      <c r="A183" s="149"/>
      <c r="B183" s="150"/>
      <c r="C183" s="151"/>
      <c r="D183" s="151"/>
      <c r="E183" s="151"/>
      <c r="F183" s="151"/>
      <c r="G183" s="151"/>
      <c r="H183" s="151"/>
      <c r="I183" s="144"/>
      <c r="J183" s="144"/>
      <c r="K183" s="151"/>
      <c r="L183" s="151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spans="1:26" ht="15.75" customHeight="1" x14ac:dyDescent="0.25">
      <c r="A184" s="149"/>
      <c r="B184" s="150"/>
      <c r="C184" s="151"/>
      <c r="D184" s="151"/>
      <c r="E184" s="151"/>
      <c r="F184" s="151"/>
      <c r="G184" s="151"/>
      <c r="H184" s="151"/>
      <c r="I184" s="144"/>
      <c r="J184" s="144"/>
      <c r="K184" s="151"/>
      <c r="L184" s="151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spans="1:26" ht="15.75" customHeight="1" x14ac:dyDescent="0.25">
      <c r="A185" s="149"/>
      <c r="B185" s="150"/>
      <c r="C185" s="151"/>
      <c r="D185" s="151"/>
      <c r="E185" s="151"/>
      <c r="F185" s="151"/>
      <c r="G185" s="151"/>
      <c r="H185" s="151"/>
      <c r="I185" s="144"/>
      <c r="J185" s="144"/>
      <c r="K185" s="151"/>
      <c r="L185" s="151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spans="1:26" ht="15.75" customHeight="1" x14ac:dyDescent="0.25">
      <c r="A186" s="149"/>
      <c r="B186" s="150"/>
      <c r="C186" s="151"/>
      <c r="D186" s="151"/>
      <c r="E186" s="151"/>
      <c r="F186" s="151"/>
      <c r="G186" s="151"/>
      <c r="H186" s="151"/>
      <c r="I186" s="144"/>
      <c r="J186" s="144"/>
      <c r="K186" s="151"/>
      <c r="L186" s="151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spans="1:26" ht="15.75" customHeight="1" x14ac:dyDescent="0.25">
      <c r="A187" s="149"/>
      <c r="B187" s="150"/>
      <c r="C187" s="151"/>
      <c r="D187" s="151"/>
      <c r="E187" s="151"/>
      <c r="F187" s="151"/>
      <c r="G187" s="151"/>
      <c r="H187" s="151"/>
      <c r="I187" s="144"/>
      <c r="J187" s="144"/>
      <c r="K187" s="151"/>
      <c r="L187" s="151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spans="1:26" ht="15.75" customHeight="1" x14ac:dyDescent="0.25">
      <c r="A188" s="149"/>
      <c r="B188" s="150"/>
      <c r="C188" s="151"/>
      <c r="D188" s="151"/>
      <c r="E188" s="151"/>
      <c r="F188" s="151"/>
      <c r="G188" s="151"/>
      <c r="H188" s="151"/>
      <c r="I188" s="144"/>
      <c r="J188" s="144"/>
      <c r="K188" s="151"/>
      <c r="L188" s="151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spans="1:26" ht="15.75" customHeight="1" x14ac:dyDescent="0.25">
      <c r="A189" s="149"/>
      <c r="B189" s="150"/>
      <c r="C189" s="151"/>
      <c r="D189" s="151"/>
      <c r="E189" s="151"/>
      <c r="F189" s="151"/>
      <c r="G189" s="151"/>
      <c r="H189" s="151"/>
      <c r="I189" s="144"/>
      <c r="J189" s="144"/>
      <c r="K189" s="151"/>
      <c r="L189" s="151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spans="1:26" ht="15.75" customHeight="1" x14ac:dyDescent="0.25">
      <c r="A190" s="149"/>
      <c r="B190" s="150"/>
      <c r="C190" s="151"/>
      <c r="D190" s="151"/>
      <c r="E190" s="151"/>
      <c r="F190" s="151"/>
      <c r="G190" s="151"/>
      <c r="H190" s="151"/>
      <c r="I190" s="144"/>
      <c r="J190" s="144"/>
      <c r="K190" s="151"/>
      <c r="L190" s="151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spans="1:26" ht="15.75" customHeight="1" x14ac:dyDescent="0.25">
      <c r="A191" s="149"/>
      <c r="B191" s="150"/>
      <c r="C191" s="151"/>
      <c r="D191" s="151"/>
      <c r="E191" s="151"/>
      <c r="F191" s="151"/>
      <c r="G191" s="151"/>
      <c r="H191" s="151"/>
      <c r="I191" s="144"/>
      <c r="J191" s="144"/>
      <c r="K191" s="151"/>
      <c r="L191" s="151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spans="1:26" ht="15.75" customHeight="1" x14ac:dyDescent="0.25">
      <c r="A192" s="149"/>
      <c r="B192" s="150"/>
      <c r="C192" s="151"/>
      <c r="D192" s="151"/>
      <c r="E192" s="151"/>
      <c r="F192" s="151"/>
      <c r="G192" s="151"/>
      <c r="H192" s="151"/>
      <c r="I192" s="144"/>
      <c r="J192" s="144"/>
      <c r="K192" s="151"/>
      <c r="L192" s="151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spans="1:26" ht="15.75" customHeight="1" x14ac:dyDescent="0.25">
      <c r="A193" s="149"/>
      <c r="B193" s="150"/>
      <c r="C193" s="151"/>
      <c r="D193" s="151"/>
      <c r="E193" s="151"/>
      <c r="F193" s="151"/>
      <c r="G193" s="151"/>
      <c r="H193" s="151"/>
      <c r="I193" s="144"/>
      <c r="J193" s="144"/>
      <c r="K193" s="151"/>
      <c r="L193" s="151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spans="1:26" ht="15.75" customHeight="1" x14ac:dyDescent="0.25">
      <c r="A194" s="149"/>
      <c r="B194" s="150"/>
      <c r="C194" s="151"/>
      <c r="D194" s="151"/>
      <c r="E194" s="151"/>
      <c r="F194" s="151"/>
      <c r="G194" s="151"/>
      <c r="H194" s="151"/>
      <c r="I194" s="144"/>
      <c r="J194" s="144"/>
      <c r="K194" s="151"/>
      <c r="L194" s="151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spans="1:26" ht="15.75" customHeight="1" x14ac:dyDescent="0.25">
      <c r="A195" s="149"/>
      <c r="B195" s="150"/>
      <c r="C195" s="151"/>
      <c r="D195" s="151"/>
      <c r="E195" s="151"/>
      <c r="F195" s="151"/>
      <c r="G195" s="151"/>
      <c r="H195" s="151"/>
      <c r="I195" s="144"/>
      <c r="J195" s="144"/>
      <c r="K195" s="151"/>
      <c r="L195" s="151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spans="1:26" ht="15.75" customHeight="1" x14ac:dyDescent="0.25">
      <c r="A196" s="149"/>
      <c r="B196" s="150"/>
      <c r="C196" s="151"/>
      <c r="D196" s="151"/>
      <c r="E196" s="151"/>
      <c r="F196" s="151"/>
      <c r="G196" s="151"/>
      <c r="H196" s="151"/>
      <c r="I196" s="144"/>
      <c r="J196" s="144"/>
      <c r="K196" s="151"/>
      <c r="L196" s="151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spans="1:26" ht="15.75" customHeight="1" x14ac:dyDescent="0.25">
      <c r="A197" s="149"/>
      <c r="B197" s="150"/>
      <c r="C197" s="151"/>
      <c r="D197" s="151"/>
      <c r="E197" s="151"/>
      <c r="F197" s="151"/>
      <c r="G197" s="151"/>
      <c r="H197" s="151"/>
      <c r="I197" s="144"/>
      <c r="J197" s="144"/>
      <c r="K197" s="151"/>
      <c r="L197" s="151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spans="1:26" ht="15.75" customHeight="1" x14ac:dyDescent="0.25">
      <c r="A198" s="149"/>
      <c r="B198" s="150"/>
      <c r="C198" s="151"/>
      <c r="D198" s="151"/>
      <c r="E198" s="151"/>
      <c r="F198" s="151"/>
      <c r="G198" s="151"/>
      <c r="H198" s="151"/>
      <c r="I198" s="144"/>
      <c r="J198" s="144"/>
      <c r="K198" s="151"/>
      <c r="L198" s="151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spans="1:26" ht="15.75" customHeight="1" x14ac:dyDescent="0.25">
      <c r="A199" s="149"/>
      <c r="B199" s="150"/>
      <c r="C199" s="151"/>
      <c r="D199" s="151"/>
      <c r="E199" s="151"/>
      <c r="F199" s="151"/>
      <c r="G199" s="151"/>
      <c r="H199" s="151"/>
      <c r="I199" s="144"/>
      <c r="J199" s="144"/>
      <c r="K199" s="151"/>
      <c r="L199" s="151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spans="1:26" ht="15.75" customHeight="1" x14ac:dyDescent="0.25">
      <c r="A200" s="149"/>
      <c r="B200" s="150"/>
      <c r="C200" s="151"/>
      <c r="D200" s="151"/>
      <c r="E200" s="151"/>
      <c r="F200" s="151"/>
      <c r="G200" s="151"/>
      <c r="H200" s="151"/>
      <c r="I200" s="144"/>
      <c r="J200" s="144"/>
      <c r="K200" s="151"/>
      <c r="L200" s="151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spans="1:26" ht="15.75" customHeight="1" x14ac:dyDescent="0.25">
      <c r="A201" s="149"/>
      <c r="B201" s="150"/>
      <c r="C201" s="151"/>
      <c r="D201" s="151"/>
      <c r="E201" s="151"/>
      <c r="F201" s="151"/>
      <c r="G201" s="151"/>
      <c r="H201" s="151"/>
      <c r="I201" s="144"/>
      <c r="J201" s="144"/>
      <c r="K201" s="151"/>
      <c r="L201" s="151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spans="1:26" ht="15.75" customHeight="1" x14ac:dyDescent="0.25">
      <c r="A202" s="149"/>
      <c r="B202" s="150"/>
      <c r="C202" s="151"/>
      <c r="D202" s="151"/>
      <c r="E202" s="151"/>
      <c r="F202" s="151"/>
      <c r="G202" s="151"/>
      <c r="H202" s="151"/>
      <c r="I202" s="144"/>
      <c r="J202" s="144"/>
      <c r="K202" s="151"/>
      <c r="L202" s="151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spans="1:26" ht="15.75" customHeight="1" x14ac:dyDescent="0.25">
      <c r="A203" s="149"/>
      <c r="B203" s="150"/>
      <c r="C203" s="151"/>
      <c r="D203" s="151"/>
      <c r="E203" s="151"/>
      <c r="F203" s="151"/>
      <c r="G203" s="151"/>
      <c r="H203" s="151"/>
      <c r="I203" s="144"/>
      <c r="J203" s="144"/>
      <c r="K203" s="151"/>
      <c r="L203" s="151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spans="1:26" ht="15.75" customHeight="1" x14ac:dyDescent="0.25">
      <c r="A204" s="149"/>
      <c r="B204" s="150"/>
      <c r="C204" s="151"/>
      <c r="D204" s="151"/>
      <c r="E204" s="151"/>
      <c r="F204" s="151"/>
      <c r="G204" s="151"/>
      <c r="H204" s="151"/>
      <c r="I204" s="144"/>
      <c r="J204" s="144"/>
      <c r="K204" s="151"/>
      <c r="L204" s="151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spans="1:26" ht="15.75" customHeight="1" x14ac:dyDescent="0.25">
      <c r="A205" s="149"/>
      <c r="B205" s="150"/>
      <c r="C205" s="151"/>
      <c r="D205" s="151"/>
      <c r="E205" s="151"/>
      <c r="F205" s="151"/>
      <c r="G205" s="151"/>
      <c r="H205" s="151"/>
      <c r="I205" s="144"/>
      <c r="J205" s="144"/>
      <c r="K205" s="151"/>
      <c r="L205" s="151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spans="1:26" ht="15.75" customHeight="1" x14ac:dyDescent="0.25">
      <c r="A206" s="149"/>
      <c r="B206" s="150"/>
      <c r="C206" s="151"/>
      <c r="D206" s="151"/>
      <c r="E206" s="151"/>
      <c r="F206" s="151"/>
      <c r="G206" s="151"/>
      <c r="H206" s="151"/>
      <c r="I206" s="144"/>
      <c r="J206" s="144"/>
      <c r="K206" s="151"/>
      <c r="L206" s="151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spans="1:26" ht="15.75" customHeight="1" x14ac:dyDescent="0.25">
      <c r="A207" s="149"/>
      <c r="B207" s="150"/>
      <c r="C207" s="151"/>
      <c r="D207" s="151"/>
      <c r="E207" s="151"/>
      <c r="F207" s="151"/>
      <c r="G207" s="151"/>
      <c r="H207" s="151"/>
      <c r="I207" s="144"/>
      <c r="J207" s="144"/>
      <c r="K207" s="151"/>
      <c r="L207" s="151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spans="1:26" ht="15.75" customHeight="1" x14ac:dyDescent="0.25">
      <c r="A208" s="149"/>
      <c r="B208" s="150"/>
      <c r="C208" s="151"/>
      <c r="D208" s="151"/>
      <c r="E208" s="151"/>
      <c r="F208" s="151"/>
      <c r="G208" s="151"/>
      <c r="H208" s="151"/>
      <c r="I208" s="144"/>
      <c r="J208" s="144"/>
      <c r="K208" s="151"/>
      <c r="L208" s="151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spans="1:26" ht="15.75" customHeight="1" x14ac:dyDescent="0.25">
      <c r="A209" s="149"/>
      <c r="B209" s="150"/>
      <c r="C209" s="151"/>
      <c r="D209" s="151"/>
      <c r="E209" s="151"/>
      <c r="F209" s="151"/>
      <c r="G209" s="151"/>
      <c r="H209" s="151"/>
      <c r="I209" s="144"/>
      <c r="J209" s="144"/>
      <c r="K209" s="151"/>
      <c r="L209" s="151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spans="1:26" ht="15.75" customHeight="1" x14ac:dyDescent="0.25">
      <c r="A210" s="149"/>
      <c r="B210" s="150"/>
      <c r="C210" s="151"/>
      <c r="D210" s="151"/>
      <c r="E210" s="151"/>
      <c r="F210" s="151"/>
      <c r="G210" s="151"/>
      <c r="H210" s="151"/>
      <c r="I210" s="144"/>
      <c r="J210" s="144"/>
      <c r="K210" s="151"/>
      <c r="L210" s="151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spans="1:26" ht="15.75" customHeight="1" x14ac:dyDescent="0.25">
      <c r="A211" s="149"/>
      <c r="B211" s="150"/>
      <c r="C211" s="151"/>
      <c r="D211" s="151"/>
      <c r="E211" s="151"/>
      <c r="F211" s="151"/>
      <c r="G211" s="151"/>
      <c r="H211" s="151"/>
      <c r="I211" s="144"/>
      <c r="J211" s="144"/>
      <c r="K211" s="151"/>
      <c r="L211" s="151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spans="1:26" ht="15.75" customHeight="1" x14ac:dyDescent="0.25">
      <c r="A212" s="149"/>
      <c r="B212" s="150"/>
      <c r="C212" s="151"/>
      <c r="D212" s="151"/>
      <c r="E212" s="151"/>
      <c r="F212" s="151"/>
      <c r="G212" s="151"/>
      <c r="H212" s="151"/>
      <c r="I212" s="144"/>
      <c r="J212" s="144"/>
      <c r="K212" s="151"/>
      <c r="L212" s="151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spans="1:26" ht="15.75" customHeight="1" x14ac:dyDescent="0.25">
      <c r="A213" s="149"/>
      <c r="B213" s="150"/>
      <c r="C213" s="151"/>
      <c r="D213" s="151"/>
      <c r="E213" s="151"/>
      <c r="F213" s="151"/>
      <c r="G213" s="151"/>
      <c r="H213" s="151"/>
      <c r="I213" s="144"/>
      <c r="J213" s="144"/>
      <c r="K213" s="151"/>
      <c r="L213" s="151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spans="1:26" ht="15.75" customHeight="1" x14ac:dyDescent="0.25">
      <c r="A214" s="149"/>
      <c r="B214" s="150"/>
      <c r="C214" s="151"/>
      <c r="D214" s="151"/>
      <c r="E214" s="151"/>
      <c r="F214" s="151"/>
      <c r="G214" s="151"/>
      <c r="H214" s="151"/>
      <c r="I214" s="144"/>
      <c r="J214" s="144"/>
      <c r="K214" s="151"/>
      <c r="L214" s="151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spans="1:26" ht="15.75" customHeight="1" x14ac:dyDescent="0.25">
      <c r="A215" s="149"/>
      <c r="B215" s="150"/>
      <c r="C215" s="151"/>
      <c r="D215" s="151"/>
      <c r="E215" s="151"/>
      <c r="F215" s="151"/>
      <c r="G215" s="151"/>
      <c r="H215" s="151"/>
      <c r="I215" s="144"/>
      <c r="J215" s="144"/>
      <c r="K215" s="151"/>
      <c r="L215" s="151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spans="1:26" ht="15.75" customHeight="1" x14ac:dyDescent="0.25">
      <c r="A216" s="149"/>
      <c r="B216" s="150"/>
      <c r="C216" s="151"/>
      <c r="D216" s="151"/>
      <c r="E216" s="151"/>
      <c r="F216" s="151"/>
      <c r="G216" s="151"/>
      <c r="H216" s="151"/>
      <c r="I216" s="144"/>
      <c r="J216" s="144"/>
      <c r="K216" s="151"/>
      <c r="L216" s="151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spans="1:26" ht="15.75" customHeight="1" x14ac:dyDescent="0.25">
      <c r="A217" s="149"/>
      <c r="B217" s="150"/>
      <c r="C217" s="151"/>
      <c r="D217" s="151"/>
      <c r="E217" s="151"/>
      <c r="F217" s="151"/>
      <c r="G217" s="151"/>
      <c r="H217" s="151"/>
      <c r="I217" s="144"/>
      <c r="J217" s="144"/>
      <c r="K217" s="151"/>
      <c r="L217" s="151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spans="1:26" ht="15.75" customHeight="1" x14ac:dyDescent="0.25">
      <c r="A218" s="149"/>
      <c r="B218" s="150"/>
      <c r="C218" s="151"/>
      <c r="D218" s="151"/>
      <c r="E218" s="151"/>
      <c r="F218" s="151"/>
      <c r="G218" s="151"/>
      <c r="H218" s="151"/>
      <c r="I218" s="144"/>
      <c r="J218" s="144"/>
      <c r="K218" s="151"/>
      <c r="L218" s="151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spans="1:26" ht="15.75" customHeight="1" x14ac:dyDescent="0.25">
      <c r="A219" s="149"/>
      <c r="B219" s="150"/>
      <c r="C219" s="151"/>
      <c r="D219" s="151"/>
      <c r="E219" s="151"/>
      <c r="F219" s="151"/>
      <c r="G219" s="151"/>
      <c r="H219" s="151"/>
      <c r="I219" s="144"/>
      <c r="J219" s="144"/>
      <c r="K219" s="151"/>
      <c r="L219" s="151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spans="1:26" ht="15.75" customHeight="1" x14ac:dyDescent="0.25">
      <c r="A220" s="149"/>
      <c r="B220" s="150"/>
      <c r="C220" s="151"/>
      <c r="D220" s="151"/>
      <c r="E220" s="151"/>
      <c r="F220" s="151"/>
      <c r="G220" s="151"/>
      <c r="H220" s="151"/>
      <c r="I220" s="144"/>
      <c r="J220" s="144"/>
      <c r="K220" s="151"/>
      <c r="L220" s="151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spans="1:26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Delays-Dec-24</vt:lpstr>
      <vt:lpstr>Pareto graph-Dec 24</vt:lpstr>
      <vt:lpstr>Delays-Jan-25</vt:lpstr>
      <vt:lpstr>Pareto graph-JAN 25 </vt:lpstr>
      <vt:lpstr>Delays-Feb-25</vt:lpstr>
      <vt:lpstr>Pareto graph-Feb 25</vt:lpstr>
      <vt:lpstr>ISHIKAWA- EAF Electrode Breakag</vt:lpstr>
      <vt:lpstr>SMS II EAF Electrode</vt:lpstr>
      <vt:lpstr>SMS Improvement Projects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Kumar Goyal</dc:creator>
  <cp:lastModifiedBy>Yatharth Kaushik</cp:lastModifiedBy>
  <dcterms:created xsi:type="dcterms:W3CDTF">2015-06-05T18:17:20Z</dcterms:created>
  <dcterms:modified xsi:type="dcterms:W3CDTF">2026-06-12T06:28:17Z</dcterms:modified>
</cp:coreProperties>
</file>