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1600" windowHeight="9615" activeTab="1"/>
  </bookViews>
  <sheets>
    <sheet name="Delay_Report" sheetId="6" r:id="rId1"/>
    <sheet name="Summary" sheetId="4" r:id="rId2"/>
  </sheets>
  <definedNames>
    <definedName name="_xlnm._FilterDatabase">Summary!$A$8:$U$53</definedName>
  </definedNames>
  <calcPr calcId="152511"/>
</workbook>
</file>

<file path=xl/calcChain.xml><?xml version="1.0" encoding="utf-8"?>
<calcChain xmlns="http://schemas.openxmlformats.org/spreadsheetml/2006/main">
  <c r="H45" i="4" l="1"/>
  <c r="G45" i="4"/>
  <c r="E45" i="4"/>
  <c r="C45" i="4"/>
  <c r="H31" i="4"/>
  <c r="G31" i="4"/>
  <c r="E31" i="4"/>
  <c r="C31" i="4"/>
  <c r="H27" i="4"/>
  <c r="G27" i="4"/>
  <c r="E27" i="4"/>
  <c r="C27" i="4"/>
  <c r="H21" i="4"/>
  <c r="G21" i="4"/>
  <c r="E21" i="4"/>
  <c r="C21" i="4"/>
  <c r="H10" i="4"/>
  <c r="G10" i="4"/>
  <c r="E10" i="4"/>
  <c r="C10" i="4"/>
</calcChain>
</file>

<file path=xl/sharedStrings.xml><?xml version="1.0" encoding="utf-8"?>
<sst xmlns="http://schemas.openxmlformats.org/spreadsheetml/2006/main" count="650" uniqueCount="296">
  <si>
    <t>JINDAL STEEL AND POWER LIMITED</t>
  </si>
  <si>
    <t>RAIL MILL(UNIT-II)</t>
  </si>
  <si>
    <t>RAIL MILL DELAY REPORT FOR 09-06-2026</t>
  </si>
  <si>
    <t>REPORTING DATE            : ----&gt;</t>
  </si>
  <si>
    <t>10-Jun-2026</t>
  </si>
  <si>
    <t>ROLLED SECTION             : ----&gt;</t>
  </si>
  <si>
    <t>UC254X254   | Shift C - 0 MT | Shift A - 0 MT | Shift B - 0 MT</t>
  </si>
  <si>
    <t>RAW MATERIAL SIZE      : ----&gt;</t>
  </si>
  <si>
    <t>BEAMBLANK1-480X420X120MM</t>
  </si>
  <si>
    <t>ROLLING STARTED          : ----&gt;</t>
  </si>
  <si>
    <t>10:00 PM</t>
  </si>
  <si>
    <t>Hrs(Time)</t>
  </si>
  <si>
    <t>OK</t>
  </si>
  <si>
    <t>Misroll</t>
  </si>
  <si>
    <t>R/C</t>
  </si>
  <si>
    <t>From</t>
  </si>
  <si>
    <t>To</t>
  </si>
  <si>
    <t>Min</t>
  </si>
  <si>
    <t>Total Delay(Hrs-Min)</t>
  </si>
  <si>
    <t>Agency</t>
  </si>
  <si>
    <t>Sub-Agency</t>
  </si>
  <si>
    <t>Section</t>
  </si>
  <si>
    <t>Asset</t>
  </si>
  <si>
    <t>Equipment</t>
  </si>
  <si>
    <t>Sub Equipment</t>
  </si>
  <si>
    <t>Shift Incharge</t>
  </si>
  <si>
    <t>Description for delay</t>
  </si>
  <si>
    <t>why</t>
  </si>
  <si>
    <t>08-06-2026 22:00 - 23:00</t>
  </si>
  <si>
    <t>22:15</t>
  </si>
  <si>
    <t>22:25</t>
  </si>
  <si>
    <t>10</t>
  </si>
  <si>
    <t>00:10</t>
  </si>
  <si>
    <t>Planned Delay</t>
  </si>
  <si>
    <t>Length change</t>
  </si>
  <si>
    <t>UC 254X254</t>
  </si>
  <si>
    <t>NA</t>
  </si>
  <si>
    <t>G Dewpal</t>
  </si>
  <si>
    <t>Cum. Delay due to Special cut length cutting from the hot Saw 11.15 , 6.3  &amp; 15.70 m</t>
  </si>
  <si>
    <t/>
  </si>
  <si>
    <t>08-06-2026 23:00 - 0:00</t>
  </si>
  <si>
    <t>23:00</t>
  </si>
  <si>
    <t>23:08</t>
  </si>
  <si>
    <t>8</t>
  </si>
  <si>
    <t>00:08</t>
  </si>
  <si>
    <t>Profile checking</t>
  </si>
  <si>
    <t>Profile Checking after sectional Wt changed to UC 254x254x88.9Kg/Mtr</t>
  </si>
  <si>
    <t>-</t>
  </si>
  <si>
    <t>09-06-2026 0:00 - 1:00</t>
  </si>
  <si>
    <t>00:35</t>
  </si>
  <si>
    <t>00:50</t>
  </si>
  <si>
    <t>15</t>
  </si>
  <si>
    <t>00:15</t>
  </si>
  <si>
    <t>Ring Change (St. M/C)</t>
  </si>
  <si>
    <t>C/Bed clearence awaited due to straightening Mc. Ring change &amp; setting  for UC254 X 254</t>
  </si>
  <si>
    <t>09-06-2026 1:00 - 2:00</t>
  </si>
  <si>
    <t>01:11</t>
  </si>
  <si>
    <t>01:21</t>
  </si>
  <si>
    <t>Cum. Delay due to Special cut length cutting from the hot saw 18.488 , 14.20 , 12.342 &amp; 15.70 mts.</t>
  </si>
  <si>
    <t>01:33</t>
  </si>
  <si>
    <t>01:36</t>
  </si>
  <si>
    <t>3</t>
  </si>
  <si>
    <t>00:03</t>
  </si>
  <si>
    <t>Operation</t>
  </si>
  <si>
    <t>Operation (Mill)</t>
  </si>
  <si>
    <t>BD1</t>
  </si>
  <si>
    <t xml:space="preserve">BN [108] M/R from BD mill due to low temp. because 4th pass bitting problem in BD </t>
  </si>
  <si>
    <t>09-06-2026 2:00 - 3:00</t>
  </si>
  <si>
    <t>02:10</t>
  </si>
  <si>
    <t>02:26</t>
  </si>
  <si>
    <t>16</t>
  </si>
  <si>
    <t>00:16</t>
  </si>
  <si>
    <t>Blade change</t>
  </si>
  <si>
    <t>HOT SAW</t>
  </si>
  <si>
    <t>Fixed Saw</t>
  </si>
  <si>
    <t>Blade Change</t>
  </si>
  <si>
    <t>Hot Saw fixed saw blade changed due to cutting burr.</t>
  </si>
  <si>
    <t>09-06-2026 3:00 - 4:00</t>
  </si>
  <si>
    <t>09-06-2026 4:00 - 5:00</t>
  </si>
  <si>
    <t>04:15</t>
  </si>
  <si>
    <t>04:43</t>
  </si>
  <si>
    <t>28</t>
  </si>
  <si>
    <t>00:28</t>
  </si>
  <si>
    <t>Outside Control</t>
  </si>
  <si>
    <t>Others</t>
  </si>
  <si>
    <t>Miscellaneous</t>
  </si>
  <si>
    <t>C/Bed clearence awaited due to 18mtr. Export Material process ,  Handling &amp; evacuation from T2 Bed.</t>
  </si>
  <si>
    <t>09-06-2026 5:00 - 6:00</t>
  </si>
  <si>
    <t>09-06-2026 6:00 - 7:00</t>
  </si>
  <si>
    <t>06:05</t>
  </si>
  <si>
    <t>07:00</t>
  </si>
  <si>
    <t>55</t>
  </si>
  <si>
    <t>00:55</t>
  </si>
  <si>
    <t>Rakesh  Sonwani</t>
  </si>
  <si>
    <t>CBCA due to 18.488mtr &amp; 15.440mtr (80Kg)  Export Material process ,  Handling &amp; evacuation from T2 Bed  [Export Material ]</t>
  </si>
  <si>
    <t>09-06-2026 7:00 - 8:00</t>
  </si>
  <si>
    <t>09-06-2026 8:00 - 9:00</t>
  </si>
  <si>
    <t>08:16</t>
  </si>
  <si>
    <t>08:26</t>
  </si>
  <si>
    <t>Profile Checking after sectional Wt changed to UC 254x254x80Kg/Mtr</t>
  </si>
  <si>
    <t>09-06-2026 9:00 - 10:00</t>
  </si>
  <si>
    <t>09:10</t>
  </si>
  <si>
    <t>09:25</t>
  </si>
  <si>
    <t>Cum. Delay due to Special length cutting from the hot saw 18.488mtr [05] , 15.440 mtr (05-bloom).</t>
  </si>
  <si>
    <t>09:36</t>
  </si>
  <si>
    <t>09:46</t>
  </si>
  <si>
    <t>Profile Checking after sectional Wt changed to UC 254x254x73Kg/Mtr</t>
  </si>
  <si>
    <t>09-06-2026 10:00 - 11:00</t>
  </si>
  <si>
    <t>10:00</t>
  </si>
  <si>
    <t>10:20</t>
  </si>
  <si>
    <t>20</t>
  </si>
  <si>
    <t>00:20</t>
  </si>
  <si>
    <t>Mechanical</t>
  </si>
  <si>
    <t>Mill (Mech)</t>
  </si>
  <si>
    <t>BD Saw</t>
  </si>
  <si>
    <t>Main Motor Gearbox</t>
  </si>
  <si>
    <t>BD Saw blade loosen</t>
  </si>
  <si>
    <t>09-06-2026 11:00 - 12:00</t>
  </si>
  <si>
    <t>09-06-2026 12:00 - 13:00</t>
  </si>
  <si>
    <t>09-06-2026 13:00 - 14:00</t>
  </si>
  <si>
    <t>09-06-2026 14:00 - 15:00</t>
  </si>
  <si>
    <t>Bhuvaneswar Patel</t>
  </si>
  <si>
    <t>09-06-2026 15:00 - 16:00</t>
  </si>
  <si>
    <t>09-06-2026 16:00 - 17:00</t>
  </si>
  <si>
    <t>16:15</t>
  </si>
  <si>
    <t>16:30</t>
  </si>
  <si>
    <t>Cum. Delay due to Special length cutting from the hot saw 18.488mtr (12)</t>
  </si>
  <si>
    <t>09-06-2026 17:00 - 18:00</t>
  </si>
  <si>
    <t>17:09</t>
  </si>
  <si>
    <t>17:22</t>
  </si>
  <si>
    <t>13</t>
  </si>
  <si>
    <t>00:13</t>
  </si>
  <si>
    <t>Cum. Delay due to Special length cutting from the hot saw 16mtr(5)/ 15.440mtr(5)/ 13.716mtr(4)</t>
  </si>
  <si>
    <t>09-06-2026 18:00 - 19:00</t>
  </si>
  <si>
    <t>18:00</t>
  </si>
  <si>
    <t>18:06</t>
  </si>
  <si>
    <t>6</t>
  </si>
  <si>
    <t>00:06</t>
  </si>
  <si>
    <t>Cum. Delay due to Special length cutting from the hot saw  13.716mtr(4)</t>
  </si>
  <si>
    <t>09-06-2026 19:00 - 20:00</t>
  </si>
  <si>
    <t>09-06-2026 20:00 - 21:00</t>
  </si>
  <si>
    <t>09-06-2026 21:00 - 22:00</t>
  </si>
  <si>
    <t>21:02</t>
  </si>
  <si>
    <t>21:17</t>
  </si>
  <si>
    <t>Cum. Delay due to Special length cutting from the hot saw 8.10 mtr (12Blm.)</t>
  </si>
  <si>
    <t>TOTAL-</t>
  </si>
  <si>
    <t>04:09</t>
  </si>
  <si>
    <t>RAIL MILL Delay Summary</t>
  </si>
  <si>
    <t>SL. No.</t>
  </si>
  <si>
    <t>On Date Delay</t>
  </si>
  <si>
    <t>Monthly Cumulative</t>
  </si>
  <si>
    <t>Misroll Analysis</t>
  </si>
  <si>
    <t>Summary</t>
  </si>
  <si>
    <t>On Date</t>
  </si>
  <si>
    <t>Monthly</t>
  </si>
  <si>
    <t>In Min</t>
  </si>
  <si>
    <t>In Hrs.-Min</t>
  </si>
  <si>
    <t>On date</t>
  </si>
  <si>
    <t>CALENDER HOURS</t>
  </si>
  <si>
    <t>1)</t>
  </si>
  <si>
    <t>SHUT DOWN HOURS</t>
  </si>
  <si>
    <t>00-00</t>
  </si>
  <si>
    <t>a</t>
  </si>
  <si>
    <t>04:29</t>
  </si>
  <si>
    <t>AVAILABLE HOURS</t>
  </si>
  <si>
    <t>24-00</t>
  </si>
  <si>
    <t>b</t>
  </si>
  <si>
    <t>RHF</t>
  </si>
  <si>
    <t>00:00</t>
  </si>
  <si>
    <t>TOTAL ROLLING HOURS</t>
  </si>
  <si>
    <t>19.91</t>
  </si>
  <si>
    <t>125.51</t>
  </si>
  <si>
    <t>c</t>
  </si>
  <si>
    <t>Operation Finishing</t>
  </si>
  <si>
    <t>03:13</t>
  </si>
  <si>
    <t>DELAY HOURS</t>
  </si>
  <si>
    <t>4.09</t>
  </si>
  <si>
    <t>90.49</t>
  </si>
  <si>
    <t>d</t>
  </si>
  <si>
    <t>Operation Charging</t>
  </si>
  <si>
    <t>MILL UTILIZATION (%)</t>
  </si>
  <si>
    <t>82.71</t>
  </si>
  <si>
    <t>57.96</t>
  </si>
  <si>
    <t>e</t>
  </si>
  <si>
    <t>Roll Shop</t>
  </si>
  <si>
    <t>00:43</t>
  </si>
  <si>
    <t>RATE OF ROLLING</t>
  </si>
  <si>
    <t>131.46</t>
  </si>
  <si>
    <t>101.49</t>
  </si>
  <si>
    <t>Operation-Total</t>
  </si>
  <si>
    <t>08:25</t>
  </si>
  <si>
    <t>2)</t>
  </si>
  <si>
    <t>Equipment Summary</t>
  </si>
  <si>
    <t>Roll change</t>
  </si>
  <si>
    <t>11:58</t>
  </si>
  <si>
    <t>00:23</t>
  </si>
  <si>
    <t>01:16</t>
  </si>
  <si>
    <t>07:06</t>
  </si>
  <si>
    <t>BD2</t>
  </si>
  <si>
    <t>01:13</t>
  </si>
  <si>
    <t>Mill checking</t>
  </si>
  <si>
    <t>Cooling Bed</t>
  </si>
  <si>
    <t>RHF Retention</t>
  </si>
  <si>
    <t>00:45</t>
  </si>
  <si>
    <t>DBL</t>
  </si>
  <si>
    <t>Length change/ weight change</t>
  </si>
  <si>
    <t>01:24</t>
  </si>
  <si>
    <t>06:59</t>
  </si>
  <si>
    <t>03:21</t>
  </si>
  <si>
    <t>f</t>
  </si>
  <si>
    <t>03:36</t>
  </si>
  <si>
    <t>KV-0</t>
  </si>
  <si>
    <t>g</t>
  </si>
  <si>
    <t>Pre-cambering</t>
  </si>
  <si>
    <t>NDT</t>
  </si>
  <si>
    <t>h</t>
  </si>
  <si>
    <t>NDT Calibration</t>
  </si>
  <si>
    <t>Rail Finising Area</t>
  </si>
  <si>
    <t>i</t>
  </si>
  <si>
    <t>RHF1</t>
  </si>
  <si>
    <t>Planned Delay Total</t>
  </si>
  <si>
    <t>02:23</t>
  </si>
  <si>
    <t>31:50</t>
  </si>
  <si>
    <t>RHF2</t>
  </si>
  <si>
    <t>3)</t>
  </si>
  <si>
    <t>Mechanical (Utility)</t>
  </si>
  <si>
    <t>00:36</t>
  </si>
  <si>
    <t>Roll Change</t>
  </si>
  <si>
    <t>08:45</t>
  </si>
  <si>
    <t>RHH</t>
  </si>
  <si>
    <t>Finishing (Mech)</t>
  </si>
  <si>
    <t>Straightening Machine</t>
  </si>
  <si>
    <t>02:21</t>
  </si>
  <si>
    <t>Hydraulic</t>
  </si>
  <si>
    <t>03:54</t>
  </si>
  <si>
    <t>Tandem</t>
  </si>
  <si>
    <t>01:19</t>
  </si>
  <si>
    <t>RHF (Mech)</t>
  </si>
  <si>
    <t>01:23</t>
  </si>
  <si>
    <t>39:58</t>
  </si>
  <si>
    <t>Mechanical-Total</t>
  </si>
  <si>
    <t>08:03</t>
  </si>
  <si>
    <t>Total</t>
  </si>
  <si>
    <t>02:02</t>
  </si>
  <si>
    <t>58:13</t>
  </si>
  <si>
    <t>4)</t>
  </si>
  <si>
    <t>Electrical</t>
  </si>
  <si>
    <t>Mill (Elect)</t>
  </si>
  <si>
    <t>Rail Mill Delay Report</t>
  </si>
  <si>
    <t>Finishing (Elect)</t>
  </si>
  <si>
    <t xml:space="preserve"> </t>
  </si>
  <si>
    <t>Electrical-Total</t>
  </si>
  <si>
    <t>5)</t>
  </si>
  <si>
    <t>Shutdown</t>
  </si>
  <si>
    <t>03:00</t>
  </si>
  <si>
    <t>6)</t>
  </si>
  <si>
    <t xml:space="preserve">Short Campaign </t>
  </si>
  <si>
    <t>Profile Checking</t>
  </si>
  <si>
    <t>7)</t>
  </si>
  <si>
    <t>Mill Checking</t>
  </si>
  <si>
    <t>Gas Failure</t>
  </si>
  <si>
    <t>03:30</t>
  </si>
  <si>
    <t>Length Change/Weight Change</t>
  </si>
  <si>
    <t>Power Failure</t>
  </si>
  <si>
    <t>Blade Chage</t>
  </si>
  <si>
    <t>QC</t>
  </si>
  <si>
    <t>01:59</t>
  </si>
  <si>
    <t>Steel Shortage</t>
  </si>
  <si>
    <t>Ring Change (St.M/C)</t>
  </si>
  <si>
    <t>Steel Defect</t>
  </si>
  <si>
    <t>Logistics</t>
  </si>
  <si>
    <t>Trial rolling</t>
  </si>
  <si>
    <t>15:01</t>
  </si>
  <si>
    <t>UnPlanned Delay Total</t>
  </si>
  <si>
    <t>CMD</t>
  </si>
  <si>
    <t>Operation(RHF/Mill/Finishing)</t>
  </si>
  <si>
    <t>Marketing</t>
  </si>
  <si>
    <t>Mechanical(RHF/Mill/Finishing)</t>
  </si>
  <si>
    <t>j</t>
  </si>
  <si>
    <t>Electrical(RHF/Mill/Finishing)</t>
  </si>
  <si>
    <t>Outside Control Total</t>
  </si>
  <si>
    <t>35:28</t>
  </si>
  <si>
    <t>Misc(Logistics/TSD/CMD)</t>
  </si>
  <si>
    <t>8)</t>
  </si>
  <si>
    <t>Quality Control</t>
  </si>
  <si>
    <t>03:18</t>
  </si>
  <si>
    <t>Shutdown Planned</t>
  </si>
  <si>
    <t>G. Total</t>
  </si>
  <si>
    <t>90:49</t>
  </si>
  <si>
    <t>Mangement Delay Total</t>
  </si>
  <si>
    <t>Power Shortage</t>
  </si>
  <si>
    <t>Fuel shortage</t>
  </si>
  <si>
    <t>Raw Material Shortage</t>
  </si>
  <si>
    <t>Raw Material Def</t>
  </si>
  <si>
    <t>Trial Rolling</t>
  </si>
  <si>
    <t>Delay G.Total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</si>
</sst>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9"/>
      <name val="Calibri"/>
      <family val="2"/>
      <scheme val="minor"/>
    </font>
    <font>
      <sz val="12"/>
      <color rgb="FF0000FF"/>
      <name val="Calibri"/>
      <family val="2"/>
      <scheme val="minor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vertical="center" wrapText="1" shrinkToFit="1"/>
    </xf>
    <xf numFmtId="2" fontId="8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7" fillId="0" borderId="6" xfId="0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 shrinkToFit="1"/>
    </xf>
    <xf numFmtId="0" fontId="13" fillId="0" borderId="6" xfId="0" applyFont="1" applyBorder="1" applyAlignment="1">
      <alignment horizontal="left" vertical="center" shrinkToFit="1"/>
    </xf>
    <xf numFmtId="164" fontId="8" fillId="0" borderId="3" xfId="0" applyNumberFormat="1" applyFont="1" applyBorder="1" applyAlignment="1">
      <alignment horizontal="center" vertical="center"/>
    </xf>
    <xf numFmtId="2" fontId="8" fillId="0" borderId="0" xfId="0" applyNumberFormat="1" applyFont="1"/>
    <xf numFmtId="1" fontId="8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7" fillId="0" borderId="6" xfId="0" applyFont="1" applyBorder="1" applyAlignment="1">
      <alignment vertical="center" wrapText="1"/>
    </xf>
    <xf numFmtId="2" fontId="8" fillId="0" borderId="0" xfId="0" applyNumberFormat="1" applyFont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right" vertical="center"/>
    </xf>
    <xf numFmtId="0" fontId="16" fillId="0" borderId="6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164" fontId="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6" xfId="0" applyFont="1" applyBorder="1" applyAlignment="1">
      <alignment horizontal="left" vertical="center" wrapText="1" shrinkToFit="1"/>
    </xf>
    <xf numFmtId="2" fontId="20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 shrinkToFit="1"/>
    </xf>
    <xf numFmtId="2" fontId="10" fillId="0" borderId="6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 shrinkToFit="1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 wrapText="1" shrinkToFi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 shrinkToFit="1"/>
    </xf>
    <xf numFmtId="0" fontId="8" fillId="0" borderId="6" xfId="0" applyFont="1" applyBorder="1" applyAlignment="1">
      <alignment horizontal="left" vertical="center" shrinkToFit="1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right" vertical="center"/>
    </xf>
    <xf numFmtId="1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 shrinkToFi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1" fontId="10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35"/>
  <sheetViews>
    <sheetView topLeftCell="F7" zoomScaleNormal="100" workbookViewId="0">
      <selection activeCell="K11" sqref="K11"/>
    </sheetView>
  </sheetViews>
  <sheetFormatPr defaultRowHeight="14.45" customHeight="1" x14ac:dyDescent="0.25"/>
  <cols>
    <col min="1" max="1" width="25" customWidth="1"/>
    <col min="2" max="4" width="15" customWidth="1"/>
    <col min="5" max="5" width="20" customWidth="1"/>
    <col min="6" max="6" width="15" customWidth="1"/>
    <col min="7" max="9" width="10" customWidth="1"/>
    <col min="10" max="10" width="15" customWidth="1"/>
    <col min="11" max="11" width="25" customWidth="1"/>
    <col min="12" max="15" width="25" hidden="1" customWidth="1"/>
    <col min="16" max="16" width="30" hidden="1" customWidth="1"/>
    <col min="17" max="17" width="89" customWidth="1"/>
    <col min="18" max="18" width="25" hidden="1" customWidth="1"/>
  </cols>
  <sheetData>
    <row r="1" spans="1:18" s="1" customFormat="1" ht="20.100000000000001" customHeight="1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8" s="1" customFormat="1" ht="20.100000000000001" customHeight="1" x14ac:dyDescent="0.2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 s="1" customFormat="1" ht="20.100000000000001" customHeight="1" x14ac:dyDescent="0.25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</row>
    <row r="4" spans="1:18" s="1" customFormat="1" ht="20.100000000000001" customHeight="1" x14ac:dyDescent="0.25">
      <c r="A4" s="67" t="s">
        <v>3</v>
      </c>
      <c r="B4" s="67"/>
      <c r="C4" s="67" t="s">
        <v>4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18" s="1" customFormat="1" ht="20.100000000000001" customHeight="1" x14ac:dyDescent="0.25">
      <c r="A5" s="67" t="s">
        <v>5</v>
      </c>
      <c r="B5" s="67"/>
      <c r="C5" s="68" t="s">
        <v>6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</row>
    <row r="6" spans="1:18" s="1" customFormat="1" ht="20.100000000000001" customHeight="1" x14ac:dyDescent="0.25">
      <c r="A6" s="67" t="s">
        <v>7</v>
      </c>
      <c r="B6" s="67"/>
      <c r="C6" s="68" t="s">
        <v>8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1:18" s="1" customFormat="1" ht="20.100000000000001" customHeight="1" x14ac:dyDescent="0.25">
      <c r="A7" s="67" t="s">
        <v>9</v>
      </c>
      <c r="B7" s="67"/>
      <c r="C7" s="68" t="s">
        <v>10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</row>
    <row r="8" spans="1:18" s="1" customFormat="1" ht="20.100000000000001" customHeight="1" x14ac:dyDescent="0.2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13</v>
      </c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25</v>
      </c>
      <c r="Q8" s="2" t="s">
        <v>26</v>
      </c>
      <c r="R8" s="2" t="s">
        <v>27</v>
      </c>
    </row>
    <row r="9" spans="1:18" s="1" customFormat="1" ht="20.100000000000001" customHeight="1" x14ac:dyDescent="0.25">
      <c r="A9" s="3" t="s">
        <v>28</v>
      </c>
      <c r="B9" s="3">
        <v>13</v>
      </c>
      <c r="C9" s="3">
        <v>0</v>
      </c>
      <c r="D9" s="3">
        <v>0</v>
      </c>
      <c r="E9" s="3" t="s">
        <v>29</v>
      </c>
      <c r="F9" s="3" t="s">
        <v>30</v>
      </c>
      <c r="G9" s="3" t="s">
        <v>31</v>
      </c>
      <c r="H9" s="3" t="s">
        <v>32</v>
      </c>
      <c r="I9" s="3">
        <v>0</v>
      </c>
      <c r="J9" s="3" t="s">
        <v>33</v>
      </c>
      <c r="K9" s="3" t="s">
        <v>34</v>
      </c>
      <c r="L9" s="3" t="s">
        <v>35</v>
      </c>
      <c r="M9" s="3" t="s">
        <v>36</v>
      </c>
      <c r="N9" s="3" t="s">
        <v>36</v>
      </c>
      <c r="O9" s="3" t="s">
        <v>36</v>
      </c>
      <c r="P9" s="3" t="s">
        <v>37</v>
      </c>
      <c r="Q9" s="74" t="s">
        <v>38</v>
      </c>
      <c r="R9" s="3" t="s">
        <v>39</v>
      </c>
    </row>
    <row r="10" spans="1:18" s="1" customFormat="1" ht="20.100000000000001" customHeight="1" x14ac:dyDescent="0.25">
      <c r="A10" s="3" t="s">
        <v>40</v>
      </c>
      <c r="B10" s="3">
        <v>14</v>
      </c>
      <c r="C10" s="3">
        <v>0</v>
      </c>
      <c r="D10" s="3">
        <v>0</v>
      </c>
      <c r="E10" s="3" t="s">
        <v>41</v>
      </c>
      <c r="F10" s="3" t="s">
        <v>42</v>
      </c>
      <c r="G10" s="3" t="s">
        <v>43</v>
      </c>
      <c r="H10" s="3" t="s">
        <v>44</v>
      </c>
      <c r="I10" s="3">
        <v>0</v>
      </c>
      <c r="J10" s="3" t="s">
        <v>33</v>
      </c>
      <c r="K10" s="3" t="s">
        <v>45</v>
      </c>
      <c r="L10" s="3" t="s">
        <v>35</v>
      </c>
      <c r="M10" s="3" t="s">
        <v>36</v>
      </c>
      <c r="N10" s="3" t="s">
        <v>36</v>
      </c>
      <c r="O10" s="3" t="s">
        <v>36</v>
      </c>
      <c r="P10" s="3" t="s">
        <v>37</v>
      </c>
      <c r="Q10" s="74" t="s">
        <v>46</v>
      </c>
      <c r="R10" s="3" t="s">
        <v>47</v>
      </c>
    </row>
    <row r="11" spans="1:18" s="1" customFormat="1" ht="20.100000000000001" customHeight="1" x14ac:dyDescent="0.25">
      <c r="A11" s="3" t="s">
        <v>48</v>
      </c>
      <c r="B11" s="3">
        <v>12</v>
      </c>
      <c r="C11" s="3">
        <v>0</v>
      </c>
      <c r="D11" s="3">
        <v>0</v>
      </c>
      <c r="E11" s="3" t="s">
        <v>49</v>
      </c>
      <c r="F11" s="3" t="s">
        <v>50</v>
      </c>
      <c r="G11" s="3" t="s">
        <v>51</v>
      </c>
      <c r="H11" s="3" t="s">
        <v>52</v>
      </c>
      <c r="I11" s="3">
        <v>0</v>
      </c>
      <c r="J11" s="3" t="s">
        <v>33</v>
      </c>
      <c r="K11" s="3" t="s">
        <v>53</v>
      </c>
      <c r="L11" s="3" t="s">
        <v>35</v>
      </c>
      <c r="M11" s="3" t="s">
        <v>36</v>
      </c>
      <c r="N11" s="3" t="s">
        <v>36</v>
      </c>
      <c r="O11" s="3" t="s">
        <v>36</v>
      </c>
      <c r="P11" s="3" t="s">
        <v>37</v>
      </c>
      <c r="Q11" s="74" t="s">
        <v>54</v>
      </c>
      <c r="R11" s="3" t="s">
        <v>47</v>
      </c>
    </row>
    <row r="12" spans="1:18" s="1" customFormat="1" ht="20.100000000000001" customHeight="1" x14ac:dyDescent="0.25">
      <c r="A12" s="69" t="s">
        <v>55</v>
      </c>
      <c r="B12" s="69">
        <v>13</v>
      </c>
      <c r="C12" s="69">
        <v>1</v>
      </c>
      <c r="D12" s="69">
        <v>0</v>
      </c>
      <c r="E12" s="3" t="s">
        <v>56</v>
      </c>
      <c r="F12" s="3" t="s">
        <v>57</v>
      </c>
      <c r="G12" s="3" t="s">
        <v>31</v>
      </c>
      <c r="H12" s="3" t="s">
        <v>32</v>
      </c>
      <c r="I12" s="3">
        <v>0</v>
      </c>
      <c r="J12" s="3" t="s">
        <v>33</v>
      </c>
      <c r="K12" s="3" t="s">
        <v>34</v>
      </c>
      <c r="L12" s="3" t="s">
        <v>35</v>
      </c>
      <c r="M12" s="3" t="s">
        <v>36</v>
      </c>
      <c r="N12" s="3" t="s">
        <v>36</v>
      </c>
      <c r="O12" s="3" t="s">
        <v>36</v>
      </c>
      <c r="P12" s="3" t="s">
        <v>37</v>
      </c>
      <c r="Q12" s="74" t="s">
        <v>58</v>
      </c>
      <c r="R12" s="3" t="s">
        <v>39</v>
      </c>
    </row>
    <row r="13" spans="1:18" s="1" customFormat="1" ht="20.100000000000001" customHeight="1" x14ac:dyDescent="0.25">
      <c r="A13" s="69"/>
      <c r="B13" s="69"/>
      <c r="C13" s="69"/>
      <c r="D13" s="69"/>
      <c r="E13" s="3" t="s">
        <v>59</v>
      </c>
      <c r="F13" s="3" t="s">
        <v>60</v>
      </c>
      <c r="G13" s="3" t="s">
        <v>61</v>
      </c>
      <c r="H13" s="3" t="s">
        <v>62</v>
      </c>
      <c r="I13" s="3">
        <v>1</v>
      </c>
      <c r="J13" s="3" t="s">
        <v>63</v>
      </c>
      <c r="K13" s="3" t="s">
        <v>64</v>
      </c>
      <c r="L13" s="3" t="s">
        <v>35</v>
      </c>
      <c r="M13" s="3" t="s">
        <v>65</v>
      </c>
      <c r="N13" s="3" t="s">
        <v>36</v>
      </c>
      <c r="O13" s="3" t="s">
        <v>36</v>
      </c>
      <c r="P13" s="3" t="s">
        <v>37</v>
      </c>
      <c r="Q13" s="74" t="s">
        <v>66</v>
      </c>
      <c r="R13" s="3" t="s">
        <v>47</v>
      </c>
    </row>
    <row r="14" spans="1:18" s="1" customFormat="1" ht="20.100000000000001" customHeight="1" x14ac:dyDescent="0.25">
      <c r="A14" s="3" t="s">
        <v>67</v>
      </c>
      <c r="B14" s="3">
        <v>12</v>
      </c>
      <c r="C14" s="3">
        <v>0</v>
      </c>
      <c r="D14" s="3">
        <v>0</v>
      </c>
      <c r="E14" s="3" t="s">
        <v>68</v>
      </c>
      <c r="F14" s="3" t="s">
        <v>69</v>
      </c>
      <c r="G14" s="3" t="s">
        <v>70</v>
      </c>
      <c r="H14" s="3" t="s">
        <v>71</v>
      </c>
      <c r="I14" s="3">
        <v>0</v>
      </c>
      <c r="J14" s="3" t="s">
        <v>33</v>
      </c>
      <c r="K14" s="3" t="s">
        <v>72</v>
      </c>
      <c r="L14" s="3" t="s">
        <v>35</v>
      </c>
      <c r="M14" s="3" t="s">
        <v>73</v>
      </c>
      <c r="N14" s="3" t="s">
        <v>74</v>
      </c>
      <c r="O14" s="3" t="s">
        <v>75</v>
      </c>
      <c r="P14" s="3" t="s">
        <v>37</v>
      </c>
      <c r="Q14" s="74" t="s">
        <v>76</v>
      </c>
      <c r="R14" s="3" t="s">
        <v>47</v>
      </c>
    </row>
    <row r="15" spans="1:18" s="1" customFormat="1" ht="20.100000000000001" customHeight="1" x14ac:dyDescent="0.25">
      <c r="A15" s="3" t="s">
        <v>77</v>
      </c>
      <c r="B15" s="3">
        <v>16</v>
      </c>
      <c r="C15" s="3">
        <v>0</v>
      </c>
      <c r="D15" s="3">
        <v>0</v>
      </c>
      <c r="E15" s="3" t="s">
        <v>47</v>
      </c>
      <c r="F15" s="3" t="s">
        <v>47</v>
      </c>
      <c r="G15" s="3" t="s">
        <v>47</v>
      </c>
      <c r="H15" s="3" t="s">
        <v>47</v>
      </c>
      <c r="I15" s="3">
        <v>0</v>
      </c>
      <c r="J15" s="3" t="s">
        <v>47</v>
      </c>
      <c r="K15" s="3" t="s">
        <v>47</v>
      </c>
      <c r="L15" s="3" t="s">
        <v>35</v>
      </c>
      <c r="M15" s="3" t="s">
        <v>47</v>
      </c>
      <c r="N15" s="3" t="s">
        <v>47</v>
      </c>
      <c r="O15" s="3" t="s">
        <v>47</v>
      </c>
      <c r="P15" s="3" t="s">
        <v>37</v>
      </c>
      <c r="Q15" s="74" t="s">
        <v>47</v>
      </c>
      <c r="R15" s="3" t="s">
        <v>47</v>
      </c>
    </row>
    <row r="16" spans="1:18" s="1" customFormat="1" ht="30.75" customHeight="1" x14ac:dyDescent="0.25">
      <c r="A16" s="3" t="s">
        <v>78</v>
      </c>
      <c r="B16" s="3">
        <v>9</v>
      </c>
      <c r="C16" s="3">
        <v>0</v>
      </c>
      <c r="D16" s="3">
        <v>0</v>
      </c>
      <c r="E16" s="3" t="s">
        <v>79</v>
      </c>
      <c r="F16" s="3" t="s">
        <v>80</v>
      </c>
      <c r="G16" s="3" t="s">
        <v>81</v>
      </c>
      <c r="H16" s="3" t="s">
        <v>82</v>
      </c>
      <c r="I16" s="3">
        <v>0</v>
      </c>
      <c r="J16" s="3" t="s">
        <v>83</v>
      </c>
      <c r="K16" s="3" t="s">
        <v>84</v>
      </c>
      <c r="L16" s="3" t="s">
        <v>35</v>
      </c>
      <c r="M16" s="3" t="s">
        <v>85</v>
      </c>
      <c r="N16" s="3" t="s">
        <v>85</v>
      </c>
      <c r="O16" s="3" t="s">
        <v>85</v>
      </c>
      <c r="P16" s="3" t="s">
        <v>37</v>
      </c>
      <c r="Q16" s="74" t="s">
        <v>86</v>
      </c>
      <c r="R16" s="3" t="s">
        <v>47</v>
      </c>
    </row>
    <row r="17" spans="1:18" s="1" customFormat="1" ht="20.100000000000001" customHeight="1" x14ac:dyDescent="0.25">
      <c r="A17" s="3" t="s">
        <v>87</v>
      </c>
      <c r="B17" s="3">
        <v>16</v>
      </c>
      <c r="C17" s="3">
        <v>0</v>
      </c>
      <c r="D17" s="3">
        <v>0</v>
      </c>
      <c r="E17" s="3" t="s">
        <v>47</v>
      </c>
      <c r="F17" s="3" t="s">
        <v>47</v>
      </c>
      <c r="G17" s="3" t="s">
        <v>47</v>
      </c>
      <c r="H17" s="3" t="s">
        <v>47</v>
      </c>
      <c r="I17" s="3">
        <v>0</v>
      </c>
      <c r="J17" s="3" t="s">
        <v>47</v>
      </c>
      <c r="K17" s="3" t="s">
        <v>47</v>
      </c>
      <c r="L17" s="3" t="s">
        <v>35</v>
      </c>
      <c r="M17" s="3" t="s">
        <v>47</v>
      </c>
      <c r="N17" s="3" t="s">
        <v>47</v>
      </c>
      <c r="O17" s="3" t="s">
        <v>47</v>
      </c>
      <c r="P17" s="3" t="s">
        <v>37</v>
      </c>
      <c r="Q17" s="74" t="s">
        <v>47</v>
      </c>
      <c r="R17" s="3" t="s">
        <v>47</v>
      </c>
    </row>
    <row r="18" spans="1:18" s="1" customFormat="1" ht="27" customHeight="1" x14ac:dyDescent="0.25">
      <c r="A18" s="3" t="s">
        <v>88</v>
      </c>
      <c r="B18" s="3">
        <v>2</v>
      </c>
      <c r="C18" s="3">
        <v>0</v>
      </c>
      <c r="D18" s="3">
        <v>0</v>
      </c>
      <c r="E18" s="3" t="s">
        <v>89</v>
      </c>
      <c r="F18" s="3" t="s">
        <v>90</v>
      </c>
      <c r="G18" s="3" t="s">
        <v>91</v>
      </c>
      <c r="H18" s="3" t="s">
        <v>92</v>
      </c>
      <c r="I18" s="3">
        <v>0</v>
      </c>
      <c r="J18" s="3" t="s">
        <v>83</v>
      </c>
      <c r="K18" s="3" t="s">
        <v>84</v>
      </c>
      <c r="L18" s="3" t="s">
        <v>35</v>
      </c>
      <c r="M18" s="3" t="s">
        <v>85</v>
      </c>
      <c r="N18" s="3" t="s">
        <v>85</v>
      </c>
      <c r="O18" s="3" t="s">
        <v>85</v>
      </c>
      <c r="P18" s="3" t="s">
        <v>93</v>
      </c>
      <c r="Q18" s="74" t="s">
        <v>94</v>
      </c>
      <c r="R18" s="3" t="s">
        <v>39</v>
      </c>
    </row>
    <row r="19" spans="1:18" s="1" customFormat="1" ht="20.100000000000001" customHeight="1" x14ac:dyDescent="0.25">
      <c r="A19" s="3" t="s">
        <v>95</v>
      </c>
      <c r="B19" s="3">
        <v>17</v>
      </c>
      <c r="C19" s="3">
        <v>0</v>
      </c>
      <c r="D19" s="3">
        <v>0</v>
      </c>
      <c r="E19" s="3" t="s">
        <v>47</v>
      </c>
      <c r="F19" s="3" t="s">
        <v>47</v>
      </c>
      <c r="G19" s="3" t="s">
        <v>47</v>
      </c>
      <c r="H19" s="3" t="s">
        <v>47</v>
      </c>
      <c r="I19" s="3">
        <v>0</v>
      </c>
      <c r="J19" s="3" t="s">
        <v>47</v>
      </c>
      <c r="K19" s="3" t="s">
        <v>47</v>
      </c>
      <c r="L19" s="3" t="s">
        <v>35</v>
      </c>
      <c r="M19" s="3" t="s">
        <v>47</v>
      </c>
      <c r="N19" s="3" t="s">
        <v>47</v>
      </c>
      <c r="O19" s="3" t="s">
        <v>47</v>
      </c>
      <c r="P19" s="3" t="s">
        <v>93</v>
      </c>
      <c r="Q19" s="74" t="s">
        <v>47</v>
      </c>
      <c r="R19" s="3" t="s">
        <v>47</v>
      </c>
    </row>
    <row r="20" spans="1:18" s="1" customFormat="1" ht="20.100000000000001" customHeight="1" x14ac:dyDescent="0.25">
      <c r="A20" s="3" t="s">
        <v>96</v>
      </c>
      <c r="B20" s="3">
        <v>15</v>
      </c>
      <c r="C20" s="3">
        <v>0</v>
      </c>
      <c r="D20" s="3">
        <v>0</v>
      </c>
      <c r="E20" s="3" t="s">
        <v>97</v>
      </c>
      <c r="F20" s="3" t="s">
        <v>98</v>
      </c>
      <c r="G20" s="3" t="s">
        <v>31</v>
      </c>
      <c r="H20" s="3" t="s">
        <v>32</v>
      </c>
      <c r="I20" s="3">
        <v>0</v>
      </c>
      <c r="J20" s="3" t="s">
        <v>33</v>
      </c>
      <c r="K20" s="3" t="s">
        <v>45</v>
      </c>
      <c r="L20" s="3" t="s">
        <v>35</v>
      </c>
      <c r="M20" s="3" t="s">
        <v>36</v>
      </c>
      <c r="N20" s="3" t="s">
        <v>36</v>
      </c>
      <c r="O20" s="3" t="s">
        <v>36</v>
      </c>
      <c r="P20" s="3" t="s">
        <v>93</v>
      </c>
      <c r="Q20" s="74" t="s">
        <v>99</v>
      </c>
      <c r="R20" s="3" t="s">
        <v>47</v>
      </c>
    </row>
    <row r="21" spans="1:18" s="1" customFormat="1" ht="20.100000000000001" customHeight="1" x14ac:dyDescent="0.25">
      <c r="A21" s="69" t="s">
        <v>100</v>
      </c>
      <c r="B21" s="69">
        <v>11</v>
      </c>
      <c r="C21" s="69">
        <v>0</v>
      </c>
      <c r="D21" s="69">
        <v>0</v>
      </c>
      <c r="E21" s="3" t="s">
        <v>101</v>
      </c>
      <c r="F21" s="3" t="s">
        <v>102</v>
      </c>
      <c r="G21" s="3" t="s">
        <v>51</v>
      </c>
      <c r="H21" s="3" t="s">
        <v>52</v>
      </c>
      <c r="I21" s="3">
        <v>0</v>
      </c>
      <c r="J21" s="3" t="s">
        <v>33</v>
      </c>
      <c r="K21" s="3" t="s">
        <v>34</v>
      </c>
      <c r="L21" s="3" t="s">
        <v>35</v>
      </c>
      <c r="M21" s="3" t="s">
        <v>36</v>
      </c>
      <c r="N21" s="3" t="s">
        <v>36</v>
      </c>
      <c r="O21" s="3" t="s">
        <v>36</v>
      </c>
      <c r="P21" s="3" t="s">
        <v>93</v>
      </c>
      <c r="Q21" s="74" t="s">
        <v>103</v>
      </c>
      <c r="R21" s="3" t="s">
        <v>47</v>
      </c>
    </row>
    <row r="22" spans="1:18" s="1" customFormat="1" ht="20.100000000000001" customHeight="1" x14ac:dyDescent="0.25">
      <c r="A22" s="69"/>
      <c r="B22" s="69"/>
      <c r="C22" s="69"/>
      <c r="D22" s="69"/>
      <c r="E22" s="3" t="s">
        <v>104</v>
      </c>
      <c r="F22" s="3" t="s">
        <v>105</v>
      </c>
      <c r="G22" s="3" t="s">
        <v>31</v>
      </c>
      <c r="H22" s="3" t="s">
        <v>32</v>
      </c>
      <c r="I22" s="3">
        <v>0</v>
      </c>
      <c r="J22" s="3" t="s">
        <v>33</v>
      </c>
      <c r="K22" s="3" t="s">
        <v>45</v>
      </c>
      <c r="L22" s="3" t="s">
        <v>35</v>
      </c>
      <c r="M22" s="3" t="s">
        <v>36</v>
      </c>
      <c r="N22" s="3" t="s">
        <v>36</v>
      </c>
      <c r="O22" s="3" t="s">
        <v>36</v>
      </c>
      <c r="P22" s="3" t="s">
        <v>93</v>
      </c>
      <c r="Q22" s="74" t="s">
        <v>106</v>
      </c>
      <c r="R22" s="3" t="s">
        <v>39</v>
      </c>
    </row>
    <row r="23" spans="1:18" s="1" customFormat="1" ht="20.100000000000001" customHeight="1" x14ac:dyDescent="0.25">
      <c r="A23" s="3" t="s">
        <v>107</v>
      </c>
      <c r="B23" s="3">
        <v>13</v>
      </c>
      <c r="C23" s="3">
        <v>0</v>
      </c>
      <c r="D23" s="3">
        <v>0</v>
      </c>
      <c r="E23" s="3" t="s">
        <v>108</v>
      </c>
      <c r="F23" s="3" t="s">
        <v>109</v>
      </c>
      <c r="G23" s="3" t="s">
        <v>110</v>
      </c>
      <c r="H23" s="3" t="s">
        <v>111</v>
      </c>
      <c r="I23" s="3">
        <v>0</v>
      </c>
      <c r="J23" s="3" t="s">
        <v>112</v>
      </c>
      <c r="K23" s="3" t="s">
        <v>113</v>
      </c>
      <c r="L23" s="3" t="s">
        <v>35</v>
      </c>
      <c r="M23" s="3" t="s">
        <v>65</v>
      </c>
      <c r="N23" s="3" t="s">
        <v>114</v>
      </c>
      <c r="O23" s="3" t="s">
        <v>115</v>
      </c>
      <c r="P23" s="3" t="s">
        <v>93</v>
      </c>
      <c r="Q23" s="74" t="s">
        <v>116</v>
      </c>
      <c r="R23" s="3" t="s">
        <v>47</v>
      </c>
    </row>
    <row r="24" spans="1:18" s="1" customFormat="1" ht="20.100000000000001" customHeight="1" x14ac:dyDescent="0.25">
      <c r="A24" s="3" t="s">
        <v>117</v>
      </c>
      <c r="B24" s="3">
        <v>17</v>
      </c>
      <c r="C24" s="3">
        <v>0</v>
      </c>
      <c r="D24" s="3">
        <v>0</v>
      </c>
      <c r="E24" s="3" t="s">
        <v>47</v>
      </c>
      <c r="F24" s="3" t="s">
        <v>47</v>
      </c>
      <c r="G24" s="3" t="s">
        <v>47</v>
      </c>
      <c r="H24" s="3" t="s">
        <v>47</v>
      </c>
      <c r="I24" s="3">
        <v>0</v>
      </c>
      <c r="J24" s="3" t="s">
        <v>47</v>
      </c>
      <c r="K24" s="3" t="s">
        <v>47</v>
      </c>
      <c r="L24" s="3" t="s">
        <v>35</v>
      </c>
      <c r="M24" s="3" t="s">
        <v>47</v>
      </c>
      <c r="N24" s="3" t="s">
        <v>47</v>
      </c>
      <c r="O24" s="3" t="s">
        <v>47</v>
      </c>
      <c r="P24" s="3" t="s">
        <v>93</v>
      </c>
      <c r="Q24" s="74" t="s">
        <v>47</v>
      </c>
      <c r="R24" s="3" t="s">
        <v>47</v>
      </c>
    </row>
    <row r="25" spans="1:18" s="1" customFormat="1" ht="20.100000000000001" customHeight="1" x14ac:dyDescent="0.25">
      <c r="A25" s="3" t="s">
        <v>118</v>
      </c>
      <c r="B25" s="3">
        <v>17</v>
      </c>
      <c r="C25" s="3">
        <v>0</v>
      </c>
      <c r="D25" s="3">
        <v>0</v>
      </c>
      <c r="E25" s="3" t="s">
        <v>47</v>
      </c>
      <c r="F25" s="3" t="s">
        <v>47</v>
      </c>
      <c r="G25" s="3" t="s">
        <v>47</v>
      </c>
      <c r="H25" s="3" t="s">
        <v>47</v>
      </c>
      <c r="I25" s="3">
        <v>0</v>
      </c>
      <c r="J25" s="3" t="s">
        <v>47</v>
      </c>
      <c r="K25" s="3" t="s">
        <v>47</v>
      </c>
      <c r="L25" s="3" t="s">
        <v>35</v>
      </c>
      <c r="M25" s="3" t="s">
        <v>47</v>
      </c>
      <c r="N25" s="3" t="s">
        <v>47</v>
      </c>
      <c r="O25" s="3" t="s">
        <v>47</v>
      </c>
      <c r="P25" s="3" t="s">
        <v>93</v>
      </c>
      <c r="Q25" s="74" t="s">
        <v>47</v>
      </c>
      <c r="R25" s="3" t="s">
        <v>47</v>
      </c>
    </row>
    <row r="26" spans="1:18" s="1" customFormat="1" ht="20.100000000000001" customHeight="1" x14ac:dyDescent="0.25">
      <c r="A26" s="3" t="s">
        <v>119</v>
      </c>
      <c r="B26" s="3">
        <v>17</v>
      </c>
      <c r="C26" s="3">
        <v>0</v>
      </c>
      <c r="D26" s="3">
        <v>0</v>
      </c>
      <c r="E26" s="3" t="s">
        <v>47</v>
      </c>
      <c r="F26" s="3" t="s">
        <v>47</v>
      </c>
      <c r="G26" s="3" t="s">
        <v>47</v>
      </c>
      <c r="H26" s="3" t="s">
        <v>47</v>
      </c>
      <c r="I26" s="3">
        <v>0</v>
      </c>
      <c r="J26" s="3" t="s">
        <v>47</v>
      </c>
      <c r="K26" s="3" t="s">
        <v>47</v>
      </c>
      <c r="L26" s="3" t="s">
        <v>35</v>
      </c>
      <c r="M26" s="3" t="s">
        <v>47</v>
      </c>
      <c r="N26" s="3" t="s">
        <v>47</v>
      </c>
      <c r="O26" s="3" t="s">
        <v>47</v>
      </c>
      <c r="P26" s="3" t="s">
        <v>93</v>
      </c>
      <c r="Q26" s="74" t="s">
        <v>47</v>
      </c>
      <c r="R26" s="3" t="s">
        <v>47</v>
      </c>
    </row>
    <row r="27" spans="1:18" s="1" customFormat="1" ht="20.100000000000001" customHeight="1" x14ac:dyDescent="0.25">
      <c r="A27" s="3" t="s">
        <v>120</v>
      </c>
      <c r="B27" s="3">
        <v>18</v>
      </c>
      <c r="C27" s="3">
        <v>0</v>
      </c>
      <c r="D27" s="3">
        <v>0</v>
      </c>
      <c r="E27" s="3" t="s">
        <v>47</v>
      </c>
      <c r="F27" s="3" t="s">
        <v>47</v>
      </c>
      <c r="G27" s="3" t="s">
        <v>47</v>
      </c>
      <c r="H27" s="3" t="s">
        <v>47</v>
      </c>
      <c r="I27" s="3">
        <v>0</v>
      </c>
      <c r="J27" s="3" t="s">
        <v>47</v>
      </c>
      <c r="K27" s="3" t="s">
        <v>47</v>
      </c>
      <c r="L27" s="3" t="s">
        <v>35</v>
      </c>
      <c r="M27" s="3" t="s">
        <v>47</v>
      </c>
      <c r="N27" s="3" t="s">
        <v>47</v>
      </c>
      <c r="O27" s="3" t="s">
        <v>47</v>
      </c>
      <c r="P27" s="3" t="s">
        <v>121</v>
      </c>
      <c r="Q27" s="74" t="s">
        <v>47</v>
      </c>
      <c r="R27" s="3" t="s">
        <v>47</v>
      </c>
    </row>
    <row r="28" spans="1:18" s="1" customFormat="1" ht="20.100000000000001" customHeight="1" x14ac:dyDescent="0.25">
      <c r="A28" s="3" t="s">
        <v>122</v>
      </c>
      <c r="B28" s="3">
        <v>18</v>
      </c>
      <c r="C28" s="3">
        <v>0</v>
      </c>
      <c r="D28" s="3">
        <v>0</v>
      </c>
      <c r="E28" s="3" t="s">
        <v>47</v>
      </c>
      <c r="F28" s="3" t="s">
        <v>47</v>
      </c>
      <c r="G28" s="3" t="s">
        <v>47</v>
      </c>
      <c r="H28" s="3" t="s">
        <v>47</v>
      </c>
      <c r="I28" s="3">
        <v>0</v>
      </c>
      <c r="J28" s="3" t="s">
        <v>47</v>
      </c>
      <c r="K28" s="3" t="s">
        <v>47</v>
      </c>
      <c r="L28" s="3" t="s">
        <v>35</v>
      </c>
      <c r="M28" s="3" t="s">
        <v>47</v>
      </c>
      <c r="N28" s="3" t="s">
        <v>47</v>
      </c>
      <c r="O28" s="3" t="s">
        <v>47</v>
      </c>
      <c r="P28" s="3" t="s">
        <v>121</v>
      </c>
      <c r="Q28" s="74" t="s">
        <v>47</v>
      </c>
      <c r="R28" s="3" t="s">
        <v>47</v>
      </c>
    </row>
    <row r="29" spans="1:18" s="1" customFormat="1" ht="20.100000000000001" customHeight="1" x14ac:dyDescent="0.25">
      <c r="A29" s="3" t="s">
        <v>123</v>
      </c>
      <c r="B29" s="3">
        <v>13</v>
      </c>
      <c r="C29" s="3">
        <v>0</v>
      </c>
      <c r="D29" s="3">
        <v>0</v>
      </c>
      <c r="E29" s="3" t="s">
        <v>124</v>
      </c>
      <c r="F29" s="3" t="s">
        <v>125</v>
      </c>
      <c r="G29" s="3" t="s">
        <v>51</v>
      </c>
      <c r="H29" s="3" t="s">
        <v>52</v>
      </c>
      <c r="I29" s="3">
        <v>0</v>
      </c>
      <c r="J29" s="3" t="s">
        <v>33</v>
      </c>
      <c r="K29" s="3" t="s">
        <v>34</v>
      </c>
      <c r="L29" s="3" t="s">
        <v>35</v>
      </c>
      <c r="M29" s="3" t="s">
        <v>36</v>
      </c>
      <c r="N29" s="3" t="s">
        <v>36</v>
      </c>
      <c r="O29" s="3" t="s">
        <v>36</v>
      </c>
      <c r="P29" s="3" t="s">
        <v>121</v>
      </c>
      <c r="Q29" s="74" t="s">
        <v>126</v>
      </c>
      <c r="R29" s="3" t="s">
        <v>39</v>
      </c>
    </row>
    <row r="30" spans="1:18" s="1" customFormat="1" ht="20.100000000000001" customHeight="1" x14ac:dyDescent="0.25">
      <c r="A30" s="3" t="s">
        <v>127</v>
      </c>
      <c r="B30" s="3">
        <v>14</v>
      </c>
      <c r="C30" s="3">
        <v>0</v>
      </c>
      <c r="D30" s="3">
        <v>0</v>
      </c>
      <c r="E30" s="3" t="s">
        <v>128</v>
      </c>
      <c r="F30" s="3" t="s">
        <v>129</v>
      </c>
      <c r="G30" s="3" t="s">
        <v>130</v>
      </c>
      <c r="H30" s="3" t="s">
        <v>131</v>
      </c>
      <c r="I30" s="3">
        <v>0</v>
      </c>
      <c r="J30" s="3" t="s">
        <v>33</v>
      </c>
      <c r="K30" s="3" t="s">
        <v>34</v>
      </c>
      <c r="L30" s="3" t="s">
        <v>35</v>
      </c>
      <c r="M30" s="3" t="s">
        <v>36</v>
      </c>
      <c r="N30" s="3" t="s">
        <v>36</v>
      </c>
      <c r="O30" s="3" t="s">
        <v>36</v>
      </c>
      <c r="P30" s="3" t="s">
        <v>121</v>
      </c>
      <c r="Q30" s="74" t="s">
        <v>132</v>
      </c>
      <c r="R30" s="3" t="s">
        <v>47</v>
      </c>
    </row>
    <row r="31" spans="1:18" s="1" customFormat="1" ht="20.100000000000001" customHeight="1" x14ac:dyDescent="0.25">
      <c r="A31" s="3" t="s">
        <v>133</v>
      </c>
      <c r="B31" s="3">
        <v>15</v>
      </c>
      <c r="C31" s="3">
        <v>0</v>
      </c>
      <c r="D31" s="3">
        <v>0</v>
      </c>
      <c r="E31" s="3" t="s">
        <v>134</v>
      </c>
      <c r="F31" s="3" t="s">
        <v>135</v>
      </c>
      <c r="G31" s="3" t="s">
        <v>136</v>
      </c>
      <c r="H31" s="3" t="s">
        <v>137</v>
      </c>
      <c r="I31" s="3">
        <v>0</v>
      </c>
      <c r="J31" s="3" t="s">
        <v>33</v>
      </c>
      <c r="K31" s="3" t="s">
        <v>34</v>
      </c>
      <c r="L31" s="3" t="s">
        <v>35</v>
      </c>
      <c r="M31" s="3" t="s">
        <v>36</v>
      </c>
      <c r="N31" s="3" t="s">
        <v>36</v>
      </c>
      <c r="O31" s="3" t="s">
        <v>36</v>
      </c>
      <c r="P31" s="3" t="s">
        <v>121</v>
      </c>
      <c r="Q31" s="74" t="s">
        <v>138</v>
      </c>
      <c r="R31" s="3" t="s">
        <v>47</v>
      </c>
    </row>
    <row r="32" spans="1:18" s="1" customFormat="1" ht="20.100000000000001" customHeight="1" x14ac:dyDescent="0.25">
      <c r="A32" s="3" t="s">
        <v>139</v>
      </c>
      <c r="B32" s="3">
        <v>18</v>
      </c>
      <c r="C32" s="3">
        <v>0</v>
      </c>
      <c r="D32" s="3">
        <v>0</v>
      </c>
      <c r="E32" s="3" t="s">
        <v>47</v>
      </c>
      <c r="F32" s="3" t="s">
        <v>47</v>
      </c>
      <c r="G32" s="3" t="s">
        <v>47</v>
      </c>
      <c r="H32" s="3" t="s">
        <v>47</v>
      </c>
      <c r="I32" s="3">
        <v>0</v>
      </c>
      <c r="J32" s="3" t="s">
        <v>47</v>
      </c>
      <c r="K32" s="3" t="s">
        <v>47</v>
      </c>
      <c r="L32" s="3" t="s">
        <v>35</v>
      </c>
      <c r="M32" s="3" t="s">
        <v>47</v>
      </c>
      <c r="N32" s="3" t="s">
        <v>47</v>
      </c>
      <c r="O32" s="3" t="s">
        <v>47</v>
      </c>
      <c r="P32" s="3" t="s">
        <v>121</v>
      </c>
      <c r="Q32" s="74" t="s">
        <v>47</v>
      </c>
      <c r="R32" s="3" t="s">
        <v>47</v>
      </c>
    </row>
    <row r="33" spans="1:18" s="1" customFormat="1" ht="20.100000000000001" customHeight="1" x14ac:dyDescent="0.25">
      <c r="A33" s="3" t="s">
        <v>140</v>
      </c>
      <c r="B33" s="3">
        <v>17</v>
      </c>
      <c r="C33" s="3">
        <v>0</v>
      </c>
      <c r="D33" s="3">
        <v>0</v>
      </c>
      <c r="E33" s="3" t="s">
        <v>47</v>
      </c>
      <c r="F33" s="3" t="s">
        <v>47</v>
      </c>
      <c r="G33" s="3" t="s">
        <v>47</v>
      </c>
      <c r="H33" s="3" t="s">
        <v>47</v>
      </c>
      <c r="I33" s="3">
        <v>0</v>
      </c>
      <c r="J33" s="3" t="s">
        <v>47</v>
      </c>
      <c r="K33" s="3" t="s">
        <v>47</v>
      </c>
      <c r="L33" s="3" t="s">
        <v>35</v>
      </c>
      <c r="M33" s="3" t="s">
        <v>47</v>
      </c>
      <c r="N33" s="3" t="s">
        <v>47</v>
      </c>
      <c r="O33" s="3" t="s">
        <v>47</v>
      </c>
      <c r="P33" s="3" t="s">
        <v>121</v>
      </c>
      <c r="Q33" s="74" t="s">
        <v>47</v>
      </c>
      <c r="R33" s="3" t="s">
        <v>47</v>
      </c>
    </row>
    <row r="34" spans="1:18" s="1" customFormat="1" ht="20.100000000000001" customHeight="1" x14ac:dyDescent="0.25">
      <c r="A34" s="3" t="s">
        <v>141</v>
      </c>
      <c r="B34" s="3">
        <v>13</v>
      </c>
      <c r="C34" s="3">
        <v>0</v>
      </c>
      <c r="D34" s="3">
        <v>0</v>
      </c>
      <c r="E34" s="3" t="s">
        <v>142</v>
      </c>
      <c r="F34" s="3" t="s">
        <v>143</v>
      </c>
      <c r="G34" s="3" t="s">
        <v>51</v>
      </c>
      <c r="H34" s="3" t="s">
        <v>52</v>
      </c>
      <c r="I34" s="3">
        <v>0</v>
      </c>
      <c r="J34" s="3" t="s">
        <v>33</v>
      </c>
      <c r="K34" s="3" t="s">
        <v>34</v>
      </c>
      <c r="L34" s="3" t="s">
        <v>35</v>
      </c>
      <c r="M34" s="3" t="s">
        <v>36</v>
      </c>
      <c r="N34" s="3" t="s">
        <v>36</v>
      </c>
      <c r="O34" s="3" t="s">
        <v>36</v>
      </c>
      <c r="P34" s="3" t="s">
        <v>121</v>
      </c>
      <c r="Q34" s="74" t="s">
        <v>144</v>
      </c>
      <c r="R34" s="3" t="s">
        <v>47</v>
      </c>
    </row>
    <row r="35" spans="1:18" s="1" customFormat="1" ht="20.100000000000001" customHeight="1" x14ac:dyDescent="0.25">
      <c r="A35" s="4" t="s">
        <v>145</v>
      </c>
      <c r="B35" s="4">
        <v>340</v>
      </c>
      <c r="C35" s="4">
        <v>1</v>
      </c>
      <c r="D35" s="4">
        <v>0</v>
      </c>
      <c r="E35" s="4" t="s">
        <v>39</v>
      </c>
      <c r="F35" s="3" t="s">
        <v>39</v>
      </c>
      <c r="G35" s="4">
        <v>249</v>
      </c>
      <c r="H35" s="4" t="s">
        <v>146</v>
      </c>
      <c r="I35" s="3">
        <v>1</v>
      </c>
      <c r="J35" s="3" t="s">
        <v>39</v>
      </c>
      <c r="K35" s="69" t="s">
        <v>39</v>
      </c>
      <c r="L35" s="69"/>
      <c r="M35" s="69"/>
      <c r="N35" s="69"/>
      <c r="O35" s="69"/>
      <c r="P35" s="69"/>
      <c r="Q35" s="69"/>
      <c r="R35" s="69"/>
    </row>
  </sheetData>
  <mergeCells count="20">
    <mergeCell ref="K35:R35"/>
    <mergeCell ref="A12:A13"/>
    <mergeCell ref="B12:B13"/>
    <mergeCell ref="C12:C13"/>
    <mergeCell ref="D12:D13"/>
    <mergeCell ref="A21:A22"/>
    <mergeCell ref="B21:B22"/>
    <mergeCell ref="C21:C22"/>
    <mergeCell ref="D21:D22"/>
    <mergeCell ref="A5:B5"/>
    <mergeCell ref="C5:R5"/>
    <mergeCell ref="A6:B6"/>
    <mergeCell ref="C6:R6"/>
    <mergeCell ref="A7:B7"/>
    <mergeCell ref="C7:R7"/>
    <mergeCell ref="A1:R1"/>
    <mergeCell ref="A2:R2"/>
    <mergeCell ref="A3:R3"/>
    <mergeCell ref="A4:B4"/>
    <mergeCell ref="C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97"/>
  <sheetViews>
    <sheetView tabSelected="1" topLeftCell="A28" zoomScale="83" zoomScaleNormal="100" workbookViewId="0">
      <selection activeCell="D46" sqref="D46"/>
    </sheetView>
  </sheetViews>
  <sheetFormatPr defaultColWidth="8.85546875" defaultRowHeight="15.6" customHeight="1" x14ac:dyDescent="0.25"/>
  <cols>
    <col min="1" max="1" width="15.140625" style="5" customWidth="1"/>
    <col min="2" max="2" width="24" style="5" customWidth="1"/>
    <col min="3" max="3" width="17.42578125" style="5" customWidth="1"/>
    <col min="4" max="4" width="10.42578125" style="5" customWidth="1"/>
    <col min="5" max="5" width="11.85546875" style="5" customWidth="1"/>
    <col min="6" max="6" width="11.5703125" style="5" customWidth="1"/>
    <col min="7" max="7" width="11.140625" style="5" customWidth="1"/>
    <col min="8" max="8" width="12" style="5" customWidth="1"/>
    <col min="9" max="9" width="21" style="6" customWidth="1"/>
    <col min="10" max="10" width="36.85546875" style="5" customWidth="1"/>
    <col min="11" max="11" width="16.85546875" style="5" customWidth="1"/>
    <col min="12" max="12" width="18.7109375" style="5" customWidth="1"/>
    <col min="13" max="13" width="43.85546875" style="5" customWidth="1"/>
    <col min="14" max="15" width="9.7109375" style="5" customWidth="1"/>
    <col min="16" max="17" width="10.85546875" style="5" customWidth="1"/>
    <col min="18" max="18" width="9.140625" style="7" customWidth="1"/>
    <col min="19" max="19" width="8.85546875" style="5" customWidth="1"/>
    <col min="20" max="16384" width="8.85546875" style="5"/>
  </cols>
  <sheetData>
    <row r="1" spans="1:19" s="8" customFormat="1" ht="21.75" customHeight="1" x14ac:dyDescent="0.25">
      <c r="A1" s="9" t="s">
        <v>147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R1" s="11"/>
    </row>
    <row r="2" spans="1:19" ht="17.25" customHeight="1" x14ac:dyDescent="0.25">
      <c r="A2" s="12" t="s">
        <v>148</v>
      </c>
      <c r="B2" s="12" t="s">
        <v>19</v>
      </c>
      <c r="C2" s="70" t="s">
        <v>149</v>
      </c>
      <c r="D2" s="71"/>
      <c r="E2" s="70" t="s">
        <v>150</v>
      </c>
      <c r="F2" s="71"/>
      <c r="G2" s="70" t="s">
        <v>151</v>
      </c>
      <c r="H2" s="71"/>
      <c r="I2" s="10"/>
      <c r="J2" s="13" t="s">
        <v>152</v>
      </c>
      <c r="K2" s="13" t="s">
        <v>153</v>
      </c>
      <c r="L2" s="13" t="s">
        <v>154</v>
      </c>
    </row>
    <row r="3" spans="1:19" ht="15.75" x14ac:dyDescent="0.25">
      <c r="A3" s="14"/>
      <c r="B3" s="14"/>
      <c r="C3" s="15" t="s">
        <v>155</v>
      </c>
      <c r="D3" s="15" t="s">
        <v>156</v>
      </c>
      <c r="E3" s="15" t="s">
        <v>155</v>
      </c>
      <c r="F3" s="15" t="s">
        <v>156</v>
      </c>
      <c r="G3" s="15" t="s">
        <v>157</v>
      </c>
      <c r="H3" s="15" t="s">
        <v>154</v>
      </c>
      <c r="I3" s="10"/>
      <c r="J3" s="16" t="s">
        <v>158</v>
      </c>
      <c r="K3" s="17">
        <v>24</v>
      </c>
      <c r="L3" s="17">
        <v>216</v>
      </c>
    </row>
    <row r="4" spans="1:19" s="6" customFormat="1" ht="15.75" x14ac:dyDescent="0.25">
      <c r="A4" s="13" t="s">
        <v>159</v>
      </c>
      <c r="B4" s="18" t="s">
        <v>63</v>
      </c>
      <c r="C4" s="13"/>
      <c r="D4" s="13"/>
      <c r="E4" s="19"/>
      <c r="F4" s="19"/>
      <c r="G4" s="19"/>
      <c r="H4" s="19"/>
      <c r="I4" s="10"/>
      <c r="J4" s="16" t="s">
        <v>160</v>
      </c>
      <c r="K4" s="17" t="s">
        <v>161</v>
      </c>
      <c r="L4" s="17" t="s">
        <v>161</v>
      </c>
      <c r="M4" s="5"/>
      <c r="R4" s="20"/>
    </row>
    <row r="5" spans="1:19" s="6" customFormat="1" ht="15.75" x14ac:dyDescent="0.25">
      <c r="A5" s="21" t="s">
        <v>162</v>
      </c>
      <c r="B5" s="22" t="s">
        <v>64</v>
      </c>
      <c r="C5" s="23">
        <v>3</v>
      </c>
      <c r="D5" s="24" t="s">
        <v>62</v>
      </c>
      <c r="E5" s="23">
        <v>269</v>
      </c>
      <c r="F5" s="23" t="s">
        <v>163</v>
      </c>
      <c r="G5" s="23">
        <v>1</v>
      </c>
      <c r="H5" s="23">
        <v>15</v>
      </c>
      <c r="I5" s="10"/>
      <c r="J5" s="25" t="s">
        <v>164</v>
      </c>
      <c r="K5" s="17" t="s">
        <v>165</v>
      </c>
      <c r="L5" s="17">
        <v>216</v>
      </c>
      <c r="R5" s="20"/>
    </row>
    <row r="6" spans="1:19" s="6" customFormat="1" ht="15.75" x14ac:dyDescent="0.25">
      <c r="A6" s="21" t="s">
        <v>166</v>
      </c>
      <c r="B6" s="22" t="s">
        <v>167</v>
      </c>
      <c r="C6" s="23">
        <v>0</v>
      </c>
      <c r="D6" s="23" t="s">
        <v>168</v>
      </c>
      <c r="E6" s="23">
        <v>0</v>
      </c>
      <c r="F6" s="23" t="s">
        <v>168</v>
      </c>
      <c r="G6" s="23">
        <v>0</v>
      </c>
      <c r="H6" s="23">
        <v>0</v>
      </c>
      <c r="J6" s="26" t="s">
        <v>169</v>
      </c>
      <c r="K6" s="17" t="s">
        <v>170</v>
      </c>
      <c r="L6" s="27" t="s">
        <v>171</v>
      </c>
      <c r="R6" s="20"/>
    </row>
    <row r="7" spans="1:19" s="6" customFormat="1" ht="15.75" x14ac:dyDescent="0.25">
      <c r="A7" s="21" t="s">
        <v>172</v>
      </c>
      <c r="B7" s="22" t="s">
        <v>173</v>
      </c>
      <c r="C7" s="23">
        <v>0</v>
      </c>
      <c r="D7" s="23" t="s">
        <v>168</v>
      </c>
      <c r="E7" s="23">
        <v>193</v>
      </c>
      <c r="F7" s="23" t="s">
        <v>174</v>
      </c>
      <c r="G7" s="23">
        <v>0</v>
      </c>
      <c r="H7" s="23">
        <v>2</v>
      </c>
      <c r="I7" s="28"/>
      <c r="J7" s="25" t="s">
        <v>175</v>
      </c>
      <c r="K7" s="17" t="s">
        <v>176</v>
      </c>
      <c r="L7" s="27" t="s">
        <v>177</v>
      </c>
      <c r="R7" s="20"/>
    </row>
    <row r="8" spans="1:19" ht="30.75" customHeight="1" x14ac:dyDescent="0.25">
      <c r="A8" s="21" t="s">
        <v>178</v>
      </c>
      <c r="B8" s="22" t="s">
        <v>179</v>
      </c>
      <c r="C8" s="23">
        <v>0</v>
      </c>
      <c r="D8" s="23" t="s">
        <v>168</v>
      </c>
      <c r="E8" s="23">
        <v>0</v>
      </c>
      <c r="F8" s="23" t="s">
        <v>168</v>
      </c>
      <c r="G8" s="23">
        <v>0</v>
      </c>
      <c r="H8" s="23">
        <v>0</v>
      </c>
      <c r="I8" s="29"/>
      <c r="J8" s="25" t="s">
        <v>180</v>
      </c>
      <c r="K8" s="17" t="s">
        <v>181</v>
      </c>
      <c r="L8" s="17" t="s">
        <v>182</v>
      </c>
      <c r="M8" s="6"/>
      <c r="O8" s="30"/>
      <c r="P8" s="30"/>
      <c r="Q8" s="30"/>
      <c r="R8" s="31"/>
      <c r="S8" s="30"/>
    </row>
    <row r="9" spans="1:19" s="6" customFormat="1" ht="25.5" customHeight="1" x14ac:dyDescent="0.25">
      <c r="A9" s="21" t="s">
        <v>183</v>
      </c>
      <c r="B9" s="32" t="s">
        <v>184</v>
      </c>
      <c r="C9" s="23">
        <v>0</v>
      </c>
      <c r="D9" s="23" t="s">
        <v>168</v>
      </c>
      <c r="E9" s="23">
        <v>43</v>
      </c>
      <c r="F9" s="23" t="s">
        <v>185</v>
      </c>
      <c r="G9" s="23">
        <v>0</v>
      </c>
      <c r="H9" s="23">
        <v>0</v>
      </c>
      <c r="I9" s="33"/>
      <c r="J9" s="25" t="s">
        <v>186</v>
      </c>
      <c r="K9" s="34" t="s">
        <v>187</v>
      </c>
      <c r="L9" s="34" t="s">
        <v>188</v>
      </c>
      <c r="M9" s="5"/>
      <c r="R9" s="20"/>
    </row>
    <row r="10" spans="1:19" s="6" customFormat="1" ht="25.5" customHeight="1" x14ac:dyDescent="0.25">
      <c r="A10" s="35"/>
      <c r="B10" s="36" t="s">
        <v>189</v>
      </c>
      <c r="C10" s="37">
        <f>SUM(C5:C9)</f>
        <v>3</v>
      </c>
      <c r="D10" s="37" t="s">
        <v>62</v>
      </c>
      <c r="E10" s="37">
        <f>SUM(E5:E9)</f>
        <v>505</v>
      </c>
      <c r="F10" s="37" t="s">
        <v>190</v>
      </c>
      <c r="G10" s="37">
        <f>SUM(G5:G9)</f>
        <v>1</v>
      </c>
      <c r="H10" s="37">
        <f>SUM(H5:H9)</f>
        <v>17</v>
      </c>
      <c r="I10" s="33"/>
      <c r="J10" s="38"/>
      <c r="K10" s="29"/>
      <c r="L10" s="29"/>
      <c r="R10" s="20"/>
    </row>
    <row r="11" spans="1:19" s="6" customFormat="1" ht="25.5" customHeight="1" x14ac:dyDescent="0.25">
      <c r="A11" s="13" t="s">
        <v>191</v>
      </c>
      <c r="B11" s="36" t="s">
        <v>33</v>
      </c>
      <c r="C11" s="37"/>
      <c r="D11" s="37"/>
      <c r="E11" s="23"/>
      <c r="F11" s="37"/>
      <c r="G11" s="37"/>
      <c r="H11" s="37"/>
      <c r="I11" s="33"/>
      <c r="J11" s="13" t="s">
        <v>192</v>
      </c>
      <c r="K11" s="13" t="s">
        <v>153</v>
      </c>
      <c r="L11" s="13" t="s">
        <v>154</v>
      </c>
      <c r="R11" s="20"/>
    </row>
    <row r="12" spans="1:19" s="6" customFormat="1" ht="25.5" customHeight="1" x14ac:dyDescent="0.25">
      <c r="A12" s="21" t="s">
        <v>162</v>
      </c>
      <c r="B12" s="22" t="s">
        <v>193</v>
      </c>
      <c r="C12" s="23">
        <v>0</v>
      </c>
      <c r="D12" s="23" t="s">
        <v>168</v>
      </c>
      <c r="E12" s="23">
        <v>718</v>
      </c>
      <c r="F12" s="23" t="s">
        <v>194</v>
      </c>
      <c r="G12" s="23">
        <v>0</v>
      </c>
      <c r="H12" s="23">
        <v>0</v>
      </c>
      <c r="I12" s="33"/>
      <c r="J12" s="16" t="s">
        <v>65</v>
      </c>
      <c r="K12" s="17" t="s">
        <v>195</v>
      </c>
      <c r="L12" s="17" t="s">
        <v>196</v>
      </c>
      <c r="R12" s="20"/>
    </row>
    <row r="13" spans="1:19" s="6" customFormat="1" ht="25.5" customHeight="1" x14ac:dyDescent="0.25">
      <c r="A13" s="21" t="s">
        <v>166</v>
      </c>
      <c r="B13" s="32" t="s">
        <v>45</v>
      </c>
      <c r="C13" s="23">
        <v>28</v>
      </c>
      <c r="D13" s="23" t="s">
        <v>82</v>
      </c>
      <c r="E13" s="23">
        <v>426</v>
      </c>
      <c r="F13" s="23" t="s">
        <v>197</v>
      </c>
      <c r="G13" s="23">
        <v>0</v>
      </c>
      <c r="H13" s="23">
        <v>5</v>
      </c>
      <c r="I13" s="33"/>
      <c r="J13" s="16" t="s">
        <v>198</v>
      </c>
      <c r="K13" s="17" t="s">
        <v>161</v>
      </c>
      <c r="L13" s="17" t="s">
        <v>199</v>
      </c>
      <c r="R13" s="20"/>
    </row>
    <row r="14" spans="1:19" s="6" customFormat="1" ht="32.25" customHeight="1" x14ac:dyDescent="0.25">
      <c r="A14" s="21" t="s">
        <v>172</v>
      </c>
      <c r="B14" s="32" t="s">
        <v>200</v>
      </c>
      <c r="C14" s="23">
        <v>0</v>
      </c>
      <c r="D14" s="23" t="s">
        <v>168</v>
      </c>
      <c r="E14" s="23">
        <v>0</v>
      </c>
      <c r="F14" s="23" t="s">
        <v>168</v>
      </c>
      <c r="G14" s="23">
        <v>0</v>
      </c>
      <c r="H14" s="23">
        <v>0</v>
      </c>
      <c r="I14" s="33"/>
      <c r="J14" s="25" t="s">
        <v>201</v>
      </c>
      <c r="K14" s="17" t="s">
        <v>161</v>
      </c>
      <c r="L14" s="17" t="s">
        <v>161</v>
      </c>
      <c r="R14" s="20"/>
    </row>
    <row r="15" spans="1:19" s="6" customFormat="1" ht="25.5" customHeight="1" x14ac:dyDescent="0.25">
      <c r="A15" s="21" t="s">
        <v>178</v>
      </c>
      <c r="B15" s="32" t="s">
        <v>202</v>
      </c>
      <c r="C15" s="23">
        <v>0</v>
      </c>
      <c r="D15" s="24">
        <v>0</v>
      </c>
      <c r="E15" s="23">
        <v>45</v>
      </c>
      <c r="F15" s="24" t="s">
        <v>203</v>
      </c>
      <c r="G15" s="23">
        <v>0</v>
      </c>
      <c r="H15" s="23">
        <v>0</v>
      </c>
      <c r="I15" s="39"/>
      <c r="J15" s="26" t="s">
        <v>204</v>
      </c>
      <c r="K15" s="17">
        <v>0</v>
      </c>
      <c r="L15" s="27">
        <v>0</v>
      </c>
      <c r="M15" s="10"/>
      <c r="R15" s="20"/>
    </row>
    <row r="16" spans="1:19" s="40" customFormat="1" ht="25.5" customHeight="1" x14ac:dyDescent="0.25">
      <c r="A16" s="21" t="s">
        <v>183</v>
      </c>
      <c r="B16" s="22" t="s">
        <v>205</v>
      </c>
      <c r="C16" s="23">
        <v>84</v>
      </c>
      <c r="D16" s="24" t="s">
        <v>206</v>
      </c>
      <c r="E16" s="23">
        <v>419</v>
      </c>
      <c r="F16" s="24" t="s">
        <v>207</v>
      </c>
      <c r="G16" s="23">
        <v>0</v>
      </c>
      <c r="H16" s="23">
        <v>0</v>
      </c>
      <c r="I16" s="33"/>
      <c r="J16" s="25" t="s">
        <v>73</v>
      </c>
      <c r="K16" s="17" t="s">
        <v>71</v>
      </c>
      <c r="L16" s="27" t="s">
        <v>208</v>
      </c>
      <c r="M16" s="10"/>
      <c r="R16" s="41"/>
    </row>
    <row r="17" spans="1:18" s="40" customFormat="1" ht="25.5" customHeight="1" x14ac:dyDescent="0.25">
      <c r="A17" s="21" t="s">
        <v>209</v>
      </c>
      <c r="B17" s="22" t="s">
        <v>72</v>
      </c>
      <c r="C17" s="23">
        <v>16</v>
      </c>
      <c r="D17" s="24" t="s">
        <v>71</v>
      </c>
      <c r="E17" s="23">
        <v>216</v>
      </c>
      <c r="F17" s="24" t="s">
        <v>210</v>
      </c>
      <c r="G17" s="23">
        <v>0</v>
      </c>
      <c r="H17" s="23">
        <v>0</v>
      </c>
      <c r="I17" s="33"/>
      <c r="J17" s="25" t="s">
        <v>211</v>
      </c>
      <c r="K17" s="17">
        <v>0</v>
      </c>
      <c r="L17" s="17">
        <v>0</v>
      </c>
      <c r="M17" s="10"/>
      <c r="R17" s="41"/>
    </row>
    <row r="18" spans="1:18" s="40" customFormat="1" ht="25.5" customHeight="1" x14ac:dyDescent="0.25">
      <c r="A18" s="21" t="s">
        <v>212</v>
      </c>
      <c r="B18" s="22" t="s">
        <v>213</v>
      </c>
      <c r="C18" s="23">
        <v>0</v>
      </c>
      <c r="D18" s="23" t="s">
        <v>168</v>
      </c>
      <c r="E18" s="23">
        <v>0</v>
      </c>
      <c r="F18" s="23" t="s">
        <v>168</v>
      </c>
      <c r="G18" s="23">
        <v>0</v>
      </c>
      <c r="H18" s="23">
        <v>0</v>
      </c>
      <c r="I18" s="33"/>
      <c r="J18" s="25" t="s">
        <v>214</v>
      </c>
      <c r="K18" s="34">
        <v>0</v>
      </c>
      <c r="L18" s="34">
        <v>0</v>
      </c>
      <c r="M18" s="6"/>
      <c r="R18" s="41"/>
    </row>
    <row r="19" spans="1:18" s="6" customFormat="1" ht="25.5" customHeight="1" x14ac:dyDescent="0.25">
      <c r="A19" s="21" t="s">
        <v>215</v>
      </c>
      <c r="B19" s="22" t="s">
        <v>216</v>
      </c>
      <c r="C19" s="23">
        <v>0</v>
      </c>
      <c r="D19" s="23" t="s">
        <v>168</v>
      </c>
      <c r="E19" s="23">
        <v>71</v>
      </c>
      <c r="F19" s="23" t="s">
        <v>56</v>
      </c>
      <c r="G19" s="23">
        <v>0</v>
      </c>
      <c r="H19" s="23">
        <v>0</v>
      </c>
      <c r="I19" s="33"/>
      <c r="J19" s="25" t="s">
        <v>217</v>
      </c>
      <c r="K19" s="17" t="s">
        <v>161</v>
      </c>
      <c r="L19" s="17" t="s">
        <v>161</v>
      </c>
      <c r="R19" s="20"/>
    </row>
    <row r="20" spans="1:18" s="6" customFormat="1" ht="25.5" customHeight="1" x14ac:dyDescent="0.25">
      <c r="A20" s="21" t="s">
        <v>218</v>
      </c>
      <c r="B20" s="22" t="s">
        <v>53</v>
      </c>
      <c r="C20" s="23">
        <v>15</v>
      </c>
      <c r="D20" s="23" t="s">
        <v>52</v>
      </c>
      <c r="E20" s="23">
        <v>15</v>
      </c>
      <c r="F20" s="23" t="s">
        <v>52</v>
      </c>
      <c r="G20" s="23">
        <v>0</v>
      </c>
      <c r="H20" s="23">
        <v>0</v>
      </c>
      <c r="I20" s="33"/>
      <c r="J20" s="26" t="s">
        <v>219</v>
      </c>
      <c r="K20" s="17">
        <v>0</v>
      </c>
      <c r="L20" s="27">
        <v>0</v>
      </c>
      <c r="M20" s="30"/>
      <c r="R20" s="20"/>
    </row>
    <row r="21" spans="1:18" s="30" customFormat="1" ht="25.5" customHeight="1" x14ac:dyDescent="0.25">
      <c r="A21" s="35"/>
      <c r="B21" s="36" t="s">
        <v>220</v>
      </c>
      <c r="C21" s="13">
        <f>SUM(C12:C20)</f>
        <v>143</v>
      </c>
      <c r="D21" s="13" t="s">
        <v>221</v>
      </c>
      <c r="E21" s="13">
        <f>SUM(E12:E20)</f>
        <v>1910</v>
      </c>
      <c r="F21" s="13" t="s">
        <v>222</v>
      </c>
      <c r="G21" s="13">
        <f>SUM(G12:G20)</f>
        <v>0</v>
      </c>
      <c r="H21" s="13">
        <f>SUM(H12:H20)</f>
        <v>5</v>
      </c>
      <c r="I21" s="33"/>
      <c r="J21" s="25" t="s">
        <v>223</v>
      </c>
      <c r="K21" s="17">
        <v>0</v>
      </c>
      <c r="L21" s="27">
        <v>0</v>
      </c>
      <c r="M21" s="6"/>
      <c r="R21" s="31"/>
    </row>
    <row r="22" spans="1:18" s="6" customFormat="1" ht="33" customHeight="1" x14ac:dyDescent="0.25">
      <c r="A22" s="13" t="s">
        <v>224</v>
      </c>
      <c r="B22" s="18" t="s">
        <v>225</v>
      </c>
      <c r="C22" s="23">
        <v>0</v>
      </c>
      <c r="D22" s="23">
        <v>0</v>
      </c>
      <c r="E22" s="23">
        <v>36</v>
      </c>
      <c r="F22" s="23" t="s">
        <v>226</v>
      </c>
      <c r="G22" s="23">
        <v>0</v>
      </c>
      <c r="H22" s="23">
        <v>0</v>
      </c>
      <c r="I22" s="33"/>
      <c r="J22" s="25" t="s">
        <v>227</v>
      </c>
      <c r="K22" s="17">
        <v>0</v>
      </c>
      <c r="L22" s="17" t="s">
        <v>228</v>
      </c>
      <c r="R22" s="20"/>
    </row>
    <row r="23" spans="1:18" s="6" customFormat="1" ht="36.75" customHeight="1" x14ac:dyDescent="0.25">
      <c r="A23" s="21" t="s">
        <v>162</v>
      </c>
      <c r="B23" s="22" t="s">
        <v>113</v>
      </c>
      <c r="C23" s="23">
        <v>20</v>
      </c>
      <c r="D23" s="23" t="s">
        <v>111</v>
      </c>
      <c r="E23" s="23">
        <v>193</v>
      </c>
      <c r="F23" s="23" t="s">
        <v>174</v>
      </c>
      <c r="G23" s="23">
        <v>0</v>
      </c>
      <c r="H23" s="23">
        <v>3</v>
      </c>
      <c r="I23" s="40"/>
      <c r="J23" s="25" t="s">
        <v>229</v>
      </c>
      <c r="K23" s="17">
        <v>0</v>
      </c>
      <c r="L23" s="17">
        <v>0</v>
      </c>
      <c r="M23" s="40"/>
      <c r="R23" s="20"/>
    </row>
    <row r="24" spans="1:18" s="40" customFormat="1" ht="25.5" customHeight="1" x14ac:dyDescent="0.25">
      <c r="A24" s="21" t="s">
        <v>166</v>
      </c>
      <c r="B24" s="22" t="s">
        <v>230</v>
      </c>
      <c r="C24" s="23">
        <v>0</v>
      </c>
      <c r="D24" s="23" t="s">
        <v>168</v>
      </c>
      <c r="E24" s="23">
        <v>20</v>
      </c>
      <c r="F24" s="23" t="s">
        <v>111</v>
      </c>
      <c r="G24" s="23">
        <v>0</v>
      </c>
      <c r="H24" s="23">
        <v>2</v>
      </c>
      <c r="I24" s="6"/>
      <c r="J24" s="25" t="s">
        <v>231</v>
      </c>
      <c r="K24" s="34">
        <v>0</v>
      </c>
      <c r="L24" s="34" t="s">
        <v>232</v>
      </c>
      <c r="M24" s="6"/>
      <c r="R24" s="41"/>
    </row>
    <row r="25" spans="1:18" s="6" customFormat="1" ht="25.5" customHeight="1" x14ac:dyDescent="0.25">
      <c r="A25" s="21" t="s">
        <v>172</v>
      </c>
      <c r="B25" s="22" t="s">
        <v>233</v>
      </c>
      <c r="C25" s="23">
        <v>0</v>
      </c>
      <c r="D25" s="23" t="s">
        <v>168</v>
      </c>
      <c r="E25" s="23">
        <v>234</v>
      </c>
      <c r="F25" s="23" t="s">
        <v>234</v>
      </c>
      <c r="G25" s="23">
        <v>0</v>
      </c>
      <c r="H25" s="23">
        <v>0</v>
      </c>
      <c r="J25" s="25" t="s">
        <v>235</v>
      </c>
      <c r="K25" s="34">
        <v>0</v>
      </c>
      <c r="L25" s="34" t="s">
        <v>236</v>
      </c>
      <c r="R25" s="20"/>
    </row>
    <row r="26" spans="1:18" s="6" customFormat="1" ht="25.5" customHeight="1" x14ac:dyDescent="0.25">
      <c r="A26" s="21" t="s">
        <v>178</v>
      </c>
      <c r="B26" s="22" t="s">
        <v>237</v>
      </c>
      <c r="C26" s="23">
        <v>0</v>
      </c>
      <c r="D26" s="23" t="s">
        <v>168</v>
      </c>
      <c r="E26" s="37">
        <v>0</v>
      </c>
      <c r="F26" s="23" t="s">
        <v>168</v>
      </c>
      <c r="G26" s="23">
        <v>0</v>
      </c>
      <c r="H26" s="23">
        <v>0</v>
      </c>
      <c r="I26" s="33"/>
      <c r="J26" s="42" t="s">
        <v>85</v>
      </c>
      <c r="K26" s="43" t="s">
        <v>238</v>
      </c>
      <c r="L26" s="43" t="s">
        <v>239</v>
      </c>
      <c r="R26" s="20"/>
    </row>
    <row r="27" spans="1:18" s="6" customFormat="1" ht="25.5" customHeight="1" x14ac:dyDescent="0.25">
      <c r="A27" s="35"/>
      <c r="B27" s="36" t="s">
        <v>240</v>
      </c>
      <c r="C27" s="37">
        <f>SUM(C22:C26)</f>
        <v>20</v>
      </c>
      <c r="D27" s="37" t="s">
        <v>111</v>
      </c>
      <c r="E27" s="23">
        <f>SUM(E22:E26)</f>
        <v>483</v>
      </c>
      <c r="F27" s="37" t="s">
        <v>241</v>
      </c>
      <c r="G27" s="37">
        <f>SUM(G22:G26)</f>
        <v>0</v>
      </c>
      <c r="H27" s="37">
        <f>SUM(H22:H26)</f>
        <v>5</v>
      </c>
      <c r="I27" s="33"/>
      <c r="J27" s="44" t="s">
        <v>242</v>
      </c>
      <c r="K27" s="45" t="s">
        <v>243</v>
      </c>
      <c r="L27" s="45" t="s">
        <v>244</v>
      </c>
      <c r="R27" s="20"/>
    </row>
    <row r="28" spans="1:18" s="6" customFormat="1" ht="25.5" customHeight="1" x14ac:dyDescent="0.25">
      <c r="A28" s="37" t="s">
        <v>245</v>
      </c>
      <c r="B28" s="18" t="s">
        <v>246</v>
      </c>
      <c r="C28" s="37"/>
      <c r="D28" s="37"/>
      <c r="E28" s="23"/>
      <c r="F28" s="37"/>
      <c r="G28" s="37"/>
      <c r="H28" s="37"/>
      <c r="I28" s="33"/>
      <c r="R28" s="20"/>
    </row>
    <row r="29" spans="1:18" s="6" customFormat="1" ht="25.5" customHeight="1" x14ac:dyDescent="0.25">
      <c r="A29" s="21" t="s">
        <v>162</v>
      </c>
      <c r="B29" s="22" t="s">
        <v>247</v>
      </c>
      <c r="C29" s="23">
        <v>0</v>
      </c>
      <c r="D29" s="23" t="s">
        <v>168</v>
      </c>
      <c r="E29" s="23">
        <v>45</v>
      </c>
      <c r="F29" s="23" t="s">
        <v>203</v>
      </c>
      <c r="G29" s="23">
        <v>0</v>
      </c>
      <c r="H29" s="23">
        <v>3</v>
      </c>
      <c r="I29" s="33"/>
      <c r="J29" s="72" t="s">
        <v>248</v>
      </c>
      <c r="K29" s="73"/>
      <c r="L29" s="73"/>
      <c r="R29" s="20"/>
    </row>
    <row r="30" spans="1:18" s="6" customFormat="1" ht="25.5" customHeight="1" x14ac:dyDescent="0.25">
      <c r="A30" s="21" t="s">
        <v>166</v>
      </c>
      <c r="B30" s="22" t="s">
        <v>249</v>
      </c>
      <c r="C30" s="23">
        <v>0</v>
      </c>
      <c r="D30" s="23" t="s">
        <v>168</v>
      </c>
      <c r="E30" s="37">
        <v>0</v>
      </c>
      <c r="F30" s="23" t="s">
        <v>168</v>
      </c>
      <c r="G30" s="23">
        <v>0</v>
      </c>
      <c r="H30" s="23">
        <v>0</v>
      </c>
      <c r="I30" s="33"/>
      <c r="J30" s="13" t="s">
        <v>250</v>
      </c>
      <c r="K30" s="13" t="s">
        <v>153</v>
      </c>
      <c r="L30" s="13" t="s">
        <v>154</v>
      </c>
      <c r="R30" s="20"/>
    </row>
    <row r="31" spans="1:18" s="6" customFormat="1" ht="25.5" customHeight="1" x14ac:dyDescent="0.25">
      <c r="A31" s="21"/>
      <c r="B31" s="36" t="s">
        <v>251</v>
      </c>
      <c r="C31" s="37">
        <f>SUM(C29:C30)</f>
        <v>0</v>
      </c>
      <c r="D31" s="37" t="s">
        <v>168</v>
      </c>
      <c r="E31" s="37">
        <f>SUM(E29:E30)</f>
        <v>45</v>
      </c>
      <c r="F31" s="37" t="s">
        <v>203</v>
      </c>
      <c r="G31" s="37">
        <f>SUM(G29:G30)</f>
        <v>0</v>
      </c>
      <c r="H31" s="37">
        <f>SUM(H29:H30)</f>
        <v>3</v>
      </c>
      <c r="I31" s="33"/>
      <c r="J31" s="46" t="s">
        <v>220</v>
      </c>
      <c r="K31" s="47">
        <v>143</v>
      </c>
      <c r="L31" s="47">
        <v>1953</v>
      </c>
      <c r="M31" s="40"/>
      <c r="R31" s="20"/>
    </row>
    <row r="32" spans="1:18" s="40" customFormat="1" ht="25.5" customHeight="1" x14ac:dyDescent="0.25">
      <c r="A32" s="37" t="s">
        <v>252</v>
      </c>
      <c r="B32" s="48" t="s">
        <v>253</v>
      </c>
      <c r="C32" s="37">
        <v>0</v>
      </c>
      <c r="D32" s="37" t="s">
        <v>168</v>
      </c>
      <c r="E32" s="37">
        <v>180</v>
      </c>
      <c r="F32" s="37" t="s">
        <v>254</v>
      </c>
      <c r="G32" s="37">
        <v>0</v>
      </c>
      <c r="H32" s="37">
        <v>0</v>
      </c>
      <c r="I32" s="33"/>
      <c r="J32" s="49" t="s">
        <v>227</v>
      </c>
      <c r="K32" s="50">
        <v>0</v>
      </c>
      <c r="L32" s="50">
        <v>718</v>
      </c>
      <c r="R32" s="41"/>
    </row>
    <row r="33" spans="1:19" s="40" customFormat="1" ht="25.5" customHeight="1" x14ac:dyDescent="0.25">
      <c r="A33" s="37" t="s">
        <v>255</v>
      </c>
      <c r="B33" s="48" t="s">
        <v>256</v>
      </c>
      <c r="C33" s="37">
        <v>0</v>
      </c>
      <c r="D33" s="37" t="s">
        <v>168</v>
      </c>
      <c r="E33" s="23">
        <v>0</v>
      </c>
      <c r="F33" s="37" t="s">
        <v>168</v>
      </c>
      <c r="G33" s="37">
        <v>0</v>
      </c>
      <c r="H33" s="37">
        <v>0</v>
      </c>
      <c r="I33" s="33"/>
      <c r="J33" s="51" t="s">
        <v>257</v>
      </c>
      <c r="K33" s="50">
        <v>28</v>
      </c>
      <c r="L33" s="50">
        <v>426</v>
      </c>
      <c r="R33" s="41"/>
    </row>
    <row r="34" spans="1:19" s="40" customFormat="1" ht="25.5" customHeight="1" x14ac:dyDescent="0.25">
      <c r="A34" s="37" t="s">
        <v>258</v>
      </c>
      <c r="B34" s="18" t="s">
        <v>83</v>
      </c>
      <c r="C34" s="37"/>
      <c r="D34" s="37"/>
      <c r="F34" s="18"/>
      <c r="G34" s="18"/>
      <c r="H34" s="18"/>
      <c r="I34" s="33"/>
      <c r="J34" s="52" t="s">
        <v>259</v>
      </c>
      <c r="K34" s="50">
        <v>0</v>
      </c>
      <c r="L34" s="50">
        <v>0</v>
      </c>
      <c r="M34" s="6"/>
      <c r="R34" s="41"/>
    </row>
    <row r="35" spans="1:19" s="6" customFormat="1" ht="25.5" customHeight="1" x14ac:dyDescent="0.25">
      <c r="A35" s="21" t="s">
        <v>162</v>
      </c>
      <c r="B35" s="22" t="s">
        <v>260</v>
      </c>
      <c r="C35" s="23">
        <v>0</v>
      </c>
      <c r="D35" s="24">
        <v>0</v>
      </c>
      <c r="E35" s="23">
        <v>210</v>
      </c>
      <c r="F35" s="23" t="s">
        <v>261</v>
      </c>
      <c r="G35" s="23">
        <v>0</v>
      </c>
      <c r="H35" s="23">
        <v>0</v>
      </c>
      <c r="I35" s="33"/>
      <c r="J35" s="51" t="s">
        <v>262</v>
      </c>
      <c r="K35" s="50">
        <v>84</v>
      </c>
      <c r="L35" s="50">
        <v>419</v>
      </c>
      <c r="R35" s="20"/>
    </row>
    <row r="36" spans="1:19" s="6" customFormat="1" ht="25.5" customHeight="1" x14ac:dyDescent="0.25">
      <c r="A36" s="21" t="s">
        <v>166</v>
      </c>
      <c r="B36" s="22" t="s">
        <v>263</v>
      </c>
      <c r="C36" s="23">
        <v>0</v>
      </c>
      <c r="D36" s="23" t="s">
        <v>168</v>
      </c>
      <c r="E36" s="23">
        <v>0</v>
      </c>
      <c r="F36" s="23" t="s">
        <v>168</v>
      </c>
      <c r="G36" s="23">
        <v>0</v>
      </c>
      <c r="H36" s="23">
        <v>0</v>
      </c>
      <c r="I36" s="33"/>
      <c r="J36" s="51" t="s">
        <v>264</v>
      </c>
      <c r="K36" s="50">
        <v>16</v>
      </c>
      <c r="L36" s="50">
        <v>216</v>
      </c>
      <c r="M36" s="5"/>
      <c r="R36" s="20"/>
    </row>
    <row r="37" spans="1:19" ht="24" customHeight="1" x14ac:dyDescent="0.25">
      <c r="A37" s="21" t="s">
        <v>172</v>
      </c>
      <c r="B37" s="22" t="s">
        <v>265</v>
      </c>
      <c r="C37" s="23">
        <v>0</v>
      </c>
      <c r="D37" s="23" t="s">
        <v>168</v>
      </c>
      <c r="E37" s="23">
        <v>119</v>
      </c>
      <c r="F37" s="23" t="s">
        <v>266</v>
      </c>
      <c r="G37" s="23">
        <v>0</v>
      </c>
      <c r="H37" s="23">
        <v>0</v>
      </c>
      <c r="I37" s="33"/>
      <c r="J37" s="51" t="s">
        <v>216</v>
      </c>
      <c r="K37" s="53">
        <v>0</v>
      </c>
      <c r="L37" s="53">
        <v>71</v>
      </c>
      <c r="M37" s="10"/>
      <c r="O37" s="6"/>
      <c r="P37" s="6"/>
      <c r="Q37" s="6"/>
      <c r="R37" s="20"/>
      <c r="S37" s="6"/>
    </row>
    <row r="38" spans="1:19" ht="18.75" customHeight="1" x14ac:dyDescent="0.25">
      <c r="A38" s="21" t="s">
        <v>178</v>
      </c>
      <c r="B38" s="22" t="s">
        <v>267</v>
      </c>
      <c r="C38" s="23">
        <v>0</v>
      </c>
      <c r="D38" s="24">
        <v>0</v>
      </c>
      <c r="E38" s="23">
        <v>0</v>
      </c>
      <c r="F38" s="23" t="s">
        <v>168</v>
      </c>
      <c r="G38" s="23">
        <v>0</v>
      </c>
      <c r="H38" s="23">
        <v>0</v>
      </c>
      <c r="I38" s="33"/>
      <c r="J38" s="51" t="s">
        <v>268</v>
      </c>
      <c r="K38" s="50">
        <v>15</v>
      </c>
      <c r="L38" s="50">
        <v>15</v>
      </c>
      <c r="M38" s="10"/>
      <c r="N38" s="6"/>
      <c r="O38" s="6"/>
      <c r="P38" s="6"/>
      <c r="Q38" s="6"/>
      <c r="R38" s="20"/>
      <c r="S38" s="6"/>
    </row>
    <row r="39" spans="1:19" ht="20.25" customHeight="1" x14ac:dyDescent="0.25">
      <c r="A39" s="21" t="s">
        <v>183</v>
      </c>
      <c r="B39" s="22" t="s">
        <v>269</v>
      </c>
      <c r="C39" s="23">
        <v>0</v>
      </c>
      <c r="D39" s="23" t="s">
        <v>168</v>
      </c>
      <c r="E39" s="23">
        <v>0</v>
      </c>
      <c r="F39" s="23" t="s">
        <v>168</v>
      </c>
      <c r="G39" s="23">
        <v>0</v>
      </c>
      <c r="H39" s="23">
        <v>0</v>
      </c>
      <c r="I39" s="33"/>
      <c r="J39" s="51" t="s">
        <v>202</v>
      </c>
      <c r="K39" s="50">
        <v>0</v>
      </c>
      <c r="L39" s="50">
        <v>45</v>
      </c>
      <c r="N39" s="6"/>
      <c r="O39" s="6"/>
      <c r="P39" s="6"/>
      <c r="Q39" s="6"/>
      <c r="R39" s="20"/>
      <c r="S39" s="6"/>
    </row>
    <row r="40" spans="1:19" ht="21" customHeight="1" x14ac:dyDescent="0.25">
      <c r="A40" s="21" t="s">
        <v>209</v>
      </c>
      <c r="B40" s="22" t="s">
        <v>270</v>
      </c>
      <c r="C40" s="23">
        <v>0</v>
      </c>
      <c r="D40" s="23" t="s">
        <v>168</v>
      </c>
      <c r="E40" s="23">
        <v>249</v>
      </c>
      <c r="F40" s="23" t="s">
        <v>146</v>
      </c>
      <c r="G40" s="23">
        <v>0</v>
      </c>
      <c r="H40" s="23">
        <v>0</v>
      </c>
      <c r="I40" s="33"/>
      <c r="J40" s="51" t="s">
        <v>184</v>
      </c>
      <c r="K40" s="50">
        <v>0</v>
      </c>
      <c r="L40" s="50">
        <v>43</v>
      </c>
      <c r="N40" s="6"/>
      <c r="O40" s="6"/>
      <c r="P40" s="6"/>
      <c r="Q40" s="6"/>
      <c r="R40" s="20"/>
      <c r="S40" s="6"/>
    </row>
    <row r="41" spans="1:19" ht="23.25" customHeight="1" x14ac:dyDescent="0.25">
      <c r="A41" s="21" t="s">
        <v>212</v>
      </c>
      <c r="B41" s="22" t="s">
        <v>271</v>
      </c>
      <c r="C41" s="23">
        <v>0</v>
      </c>
      <c r="D41" s="23" t="s">
        <v>168</v>
      </c>
      <c r="E41" s="23">
        <v>901</v>
      </c>
      <c r="F41" s="23" t="s">
        <v>272</v>
      </c>
      <c r="G41" s="23">
        <v>0</v>
      </c>
      <c r="H41" s="23">
        <v>52</v>
      </c>
      <c r="I41" s="33"/>
      <c r="J41" s="54" t="s">
        <v>273</v>
      </c>
      <c r="K41" s="47">
        <v>106</v>
      </c>
      <c r="L41" s="47">
        <v>2007</v>
      </c>
      <c r="M41" s="10"/>
      <c r="N41" s="6"/>
      <c r="O41" s="6"/>
      <c r="P41" s="6"/>
      <c r="Q41" s="6"/>
      <c r="R41" s="20"/>
      <c r="S41" s="6"/>
    </row>
    <row r="42" spans="1:19" s="10" customFormat="1" ht="29.25" customHeight="1" x14ac:dyDescent="0.25">
      <c r="A42" s="55" t="s">
        <v>215</v>
      </c>
      <c r="B42" s="22" t="s">
        <v>274</v>
      </c>
      <c r="C42" s="23">
        <v>0</v>
      </c>
      <c r="D42" s="23" t="s">
        <v>168</v>
      </c>
      <c r="E42" s="23">
        <v>143</v>
      </c>
      <c r="F42" s="23" t="s">
        <v>221</v>
      </c>
      <c r="G42" s="23">
        <v>0</v>
      </c>
      <c r="H42" s="23">
        <v>0</v>
      </c>
      <c r="I42" s="33"/>
      <c r="J42" s="51" t="s">
        <v>275</v>
      </c>
      <c r="K42" s="50">
        <v>3</v>
      </c>
      <c r="L42" s="50">
        <v>462</v>
      </c>
      <c r="M42" s="56"/>
      <c r="N42" s="6"/>
      <c r="O42" s="6"/>
      <c r="P42" s="6"/>
      <c r="Q42" s="6"/>
      <c r="R42" s="20"/>
      <c r="S42" s="6"/>
    </row>
    <row r="43" spans="1:19" s="10" customFormat="1" ht="28.5" customHeight="1" x14ac:dyDescent="0.25">
      <c r="A43" s="55" t="s">
        <v>218</v>
      </c>
      <c r="B43" s="22" t="s">
        <v>276</v>
      </c>
      <c r="C43" s="23">
        <v>0</v>
      </c>
      <c r="D43" s="23" t="s">
        <v>168</v>
      </c>
      <c r="E43" s="23">
        <v>0</v>
      </c>
      <c r="F43" s="23" t="s">
        <v>168</v>
      </c>
      <c r="G43" s="23">
        <v>0</v>
      </c>
      <c r="H43" s="23">
        <v>0</v>
      </c>
      <c r="I43" s="33"/>
      <c r="J43" s="51" t="s">
        <v>277</v>
      </c>
      <c r="K43" s="50">
        <v>20</v>
      </c>
      <c r="L43" s="50">
        <v>483</v>
      </c>
      <c r="N43" s="6"/>
      <c r="O43" s="6"/>
      <c r="P43" s="6"/>
      <c r="Q43" s="6"/>
      <c r="R43" s="20"/>
      <c r="S43" s="6"/>
    </row>
    <row r="44" spans="1:19" s="10" customFormat="1" ht="29.25" customHeight="1" x14ac:dyDescent="0.25">
      <c r="A44" s="55" t="s">
        <v>278</v>
      </c>
      <c r="B44" s="22" t="s">
        <v>84</v>
      </c>
      <c r="C44" s="23">
        <v>83</v>
      </c>
      <c r="D44" s="23" t="s">
        <v>238</v>
      </c>
      <c r="E44" s="37">
        <v>506</v>
      </c>
      <c r="F44" s="23" t="s">
        <v>98</v>
      </c>
      <c r="G44" s="23">
        <v>0</v>
      </c>
      <c r="H44" s="23">
        <v>0</v>
      </c>
      <c r="I44" s="33"/>
      <c r="J44" s="51" t="s">
        <v>279</v>
      </c>
      <c r="K44" s="50">
        <v>0</v>
      </c>
      <c r="L44" s="50">
        <v>45</v>
      </c>
      <c r="N44" s="6"/>
      <c r="O44" s="6"/>
      <c r="P44" s="6"/>
      <c r="Q44" s="6"/>
      <c r="R44" s="20"/>
      <c r="S44" s="6"/>
    </row>
    <row r="45" spans="1:19" s="10" customFormat="1" ht="24" customHeight="1" x14ac:dyDescent="0.25">
      <c r="A45" s="35"/>
      <c r="B45" s="36" t="s">
        <v>280</v>
      </c>
      <c r="C45" s="37">
        <f>SUM(C35:C44)</f>
        <v>83</v>
      </c>
      <c r="D45" s="37" t="s">
        <v>238</v>
      </c>
      <c r="E45" s="13">
        <f>SUM(E35:E44)</f>
        <v>2128</v>
      </c>
      <c r="F45" s="37" t="s">
        <v>281</v>
      </c>
      <c r="G45" s="37">
        <f>SUM(G35:G44)</f>
        <v>0</v>
      </c>
      <c r="H45" s="37">
        <f>SUM(H35:H44)</f>
        <v>52</v>
      </c>
      <c r="I45" s="57"/>
      <c r="J45" s="51" t="s">
        <v>282</v>
      </c>
      <c r="K45" s="50">
        <v>83</v>
      </c>
      <c r="L45" s="50">
        <v>1017</v>
      </c>
      <c r="R45" s="58"/>
    </row>
    <row r="46" spans="1:19" s="10" customFormat="1" ht="19.5" customHeight="1" x14ac:dyDescent="0.25">
      <c r="A46" s="37" t="s">
        <v>283</v>
      </c>
      <c r="B46" s="18" t="s">
        <v>284</v>
      </c>
      <c r="C46" s="13">
        <v>0</v>
      </c>
      <c r="D46" s="13">
        <v>0</v>
      </c>
      <c r="E46" s="59">
        <v>198</v>
      </c>
      <c r="F46" s="13" t="s">
        <v>285</v>
      </c>
      <c r="G46" s="13">
        <v>0</v>
      </c>
      <c r="H46" s="13">
        <v>10</v>
      </c>
      <c r="J46" s="60" t="s">
        <v>286</v>
      </c>
      <c r="K46" s="59">
        <v>0</v>
      </c>
      <c r="L46" s="59">
        <v>180</v>
      </c>
      <c r="R46" s="58"/>
    </row>
    <row r="47" spans="1:19" s="10" customFormat="1" ht="24" customHeight="1" x14ac:dyDescent="0.25">
      <c r="A47" s="61"/>
      <c r="B47" s="62" t="s">
        <v>287</v>
      </c>
      <c r="C47" s="59">
        <v>249</v>
      </c>
      <c r="D47" s="59" t="s">
        <v>146</v>
      </c>
      <c r="E47" s="59">
        <v>5449</v>
      </c>
      <c r="F47" s="59" t="s">
        <v>288</v>
      </c>
      <c r="G47" s="63">
        <v>1</v>
      </c>
      <c r="H47" s="59">
        <v>92</v>
      </c>
      <c r="J47" s="60" t="s">
        <v>289</v>
      </c>
      <c r="K47" s="59">
        <v>0</v>
      </c>
      <c r="L47" s="59">
        <v>1111</v>
      </c>
      <c r="R47" s="58"/>
    </row>
    <row r="48" spans="1:19" s="10" customFormat="1" ht="23.25" customHeight="1" x14ac:dyDescent="0.25">
      <c r="A48" s="5"/>
      <c r="B48" s="5"/>
      <c r="C48" s="5"/>
      <c r="D48" s="5"/>
      <c r="F48" s="5"/>
      <c r="G48" s="5"/>
      <c r="H48" s="5"/>
      <c r="J48" s="42" t="s">
        <v>290</v>
      </c>
      <c r="K48" s="64">
        <v>0</v>
      </c>
      <c r="L48" s="64">
        <v>0</v>
      </c>
      <c r="R48" s="58"/>
    </row>
    <row r="49" spans="1:18" s="10" customFormat="1" ht="24.75" customHeight="1" x14ac:dyDescent="0.25">
      <c r="J49" s="42" t="s">
        <v>291</v>
      </c>
      <c r="K49" s="64">
        <v>0</v>
      </c>
      <c r="L49" s="64">
        <v>210</v>
      </c>
      <c r="R49" s="58"/>
    </row>
    <row r="50" spans="1:18" s="10" customFormat="1" ht="31.5" customHeight="1" x14ac:dyDescent="0.25">
      <c r="J50" s="42" t="s">
        <v>292</v>
      </c>
      <c r="K50" s="64">
        <v>0</v>
      </c>
      <c r="L50" s="64">
        <v>0</v>
      </c>
      <c r="R50" s="58"/>
    </row>
    <row r="51" spans="1:18" s="10" customFormat="1" ht="21" customHeight="1" x14ac:dyDescent="0.25">
      <c r="I51" s="6"/>
      <c r="J51" s="42" t="s">
        <v>293</v>
      </c>
      <c r="K51" s="64">
        <v>0</v>
      </c>
      <c r="L51" s="64">
        <v>0</v>
      </c>
      <c r="R51" s="58"/>
    </row>
    <row r="52" spans="1:18" s="10" customFormat="1" ht="21" customHeight="1" x14ac:dyDescent="0.25">
      <c r="I52" s="6"/>
      <c r="J52" s="42" t="s">
        <v>294</v>
      </c>
      <c r="K52" s="64">
        <v>0</v>
      </c>
      <c r="L52" s="64">
        <v>901</v>
      </c>
      <c r="R52" s="58"/>
    </row>
    <row r="53" spans="1:18" s="10" customFormat="1" ht="27" customHeight="1" x14ac:dyDescent="0.25">
      <c r="E53" s="5"/>
      <c r="I53" s="6"/>
      <c r="J53" s="60" t="s">
        <v>295</v>
      </c>
      <c r="K53" s="59">
        <v>249</v>
      </c>
      <c r="L53" s="59">
        <v>5449</v>
      </c>
      <c r="R53" s="58"/>
    </row>
    <row r="54" spans="1:18" s="10" customFormat="1" ht="15" hidden="1" customHeight="1" x14ac:dyDescent="0.25">
      <c r="A54" s="5"/>
      <c r="B54" s="5"/>
      <c r="C54" s="5"/>
      <c r="D54" s="5"/>
      <c r="E54" s="5"/>
      <c r="F54" s="5"/>
      <c r="G54" s="5"/>
      <c r="H54" s="5"/>
      <c r="J54" s="5"/>
      <c r="K54" s="5"/>
      <c r="L54" s="5"/>
      <c r="R54" s="58"/>
    </row>
    <row r="55" spans="1:18" s="10" customFormat="1" ht="15" hidden="1" customHeight="1" x14ac:dyDescent="0.25">
      <c r="A55" s="5"/>
      <c r="B55" s="5"/>
      <c r="C55" s="5"/>
      <c r="D55" s="5"/>
      <c r="E55" s="5"/>
      <c r="F55" s="5"/>
      <c r="G55" s="5"/>
      <c r="H55" s="5"/>
      <c r="R55" s="58"/>
    </row>
    <row r="56" spans="1:18" s="10" customFormat="1" ht="15" hidden="1" customHeight="1" x14ac:dyDescent="0.25">
      <c r="A56" s="5"/>
      <c r="B56" s="5"/>
      <c r="C56" s="5"/>
      <c r="D56" s="5"/>
      <c r="F56" s="5"/>
      <c r="G56" s="5"/>
      <c r="H56" s="5"/>
      <c r="R56" s="58"/>
    </row>
    <row r="57" spans="1:18" s="10" customFormat="1" ht="15" hidden="1" customHeight="1" x14ac:dyDescent="0.25">
      <c r="R57" s="58"/>
    </row>
    <row r="58" spans="1:18" s="10" customFormat="1" ht="15" hidden="1" customHeight="1" x14ac:dyDescent="0.25">
      <c r="R58" s="58"/>
    </row>
    <row r="59" spans="1:18" s="10" customFormat="1" ht="18" customHeight="1" x14ac:dyDescent="0.25">
      <c r="R59" s="58"/>
    </row>
    <row r="60" spans="1:18" s="10" customFormat="1" ht="14.45" customHeight="1" x14ac:dyDescent="0.25">
      <c r="R60" s="58"/>
    </row>
    <row r="61" spans="1:18" s="10" customFormat="1" ht="12" customHeight="1" x14ac:dyDescent="0.25">
      <c r="R61" s="58"/>
    </row>
    <row r="62" spans="1:18" s="10" customFormat="1" ht="12" customHeight="1" x14ac:dyDescent="0.25">
      <c r="R62" s="58"/>
    </row>
    <row r="63" spans="1:18" s="10" customFormat="1" ht="12" customHeight="1" x14ac:dyDescent="0.25">
      <c r="R63" s="58"/>
    </row>
    <row r="64" spans="1:18" s="10" customFormat="1" ht="12" customHeight="1" x14ac:dyDescent="0.25">
      <c r="R64" s="58"/>
    </row>
    <row r="65" spans="18:18" s="10" customFormat="1" ht="14.45" customHeight="1" x14ac:dyDescent="0.25">
      <c r="R65" s="58"/>
    </row>
    <row r="66" spans="18:18" s="10" customFormat="1" ht="14.45" customHeight="1" x14ac:dyDescent="0.25">
      <c r="R66" s="58"/>
    </row>
    <row r="67" spans="18:18" s="10" customFormat="1" ht="12.75" customHeight="1" x14ac:dyDescent="0.25">
      <c r="R67" s="58"/>
    </row>
    <row r="68" spans="18:18" s="10" customFormat="1" ht="12.75" customHeight="1" x14ac:dyDescent="0.25">
      <c r="R68" s="58"/>
    </row>
    <row r="69" spans="18:18" s="10" customFormat="1" ht="14.45" customHeight="1" x14ac:dyDescent="0.25">
      <c r="R69" s="58"/>
    </row>
    <row r="70" spans="18:18" s="10" customFormat="1" ht="16.5" customHeight="1" x14ac:dyDescent="0.25">
      <c r="R70" s="58"/>
    </row>
    <row r="71" spans="18:18" s="10" customFormat="1" ht="16.5" customHeight="1" x14ac:dyDescent="0.25">
      <c r="R71" s="58"/>
    </row>
    <row r="72" spans="18:18" s="10" customFormat="1" ht="14.45" customHeight="1" x14ac:dyDescent="0.25">
      <c r="R72" s="58"/>
    </row>
    <row r="73" spans="18:18" s="10" customFormat="1" ht="12" customHeight="1" x14ac:dyDescent="0.25">
      <c r="R73" s="58"/>
    </row>
    <row r="74" spans="18:18" s="10" customFormat="1" ht="12" customHeight="1" x14ac:dyDescent="0.25">
      <c r="R74" s="58"/>
    </row>
    <row r="75" spans="18:18" s="10" customFormat="1" ht="12" customHeight="1" x14ac:dyDescent="0.25">
      <c r="R75" s="58"/>
    </row>
    <row r="76" spans="18:18" s="10" customFormat="1" ht="12" customHeight="1" x14ac:dyDescent="0.25">
      <c r="R76" s="58"/>
    </row>
    <row r="77" spans="18:18" s="10" customFormat="1" ht="12" customHeight="1" x14ac:dyDescent="0.25">
      <c r="R77" s="58"/>
    </row>
    <row r="78" spans="18:18" s="10" customFormat="1" ht="12" customHeight="1" x14ac:dyDescent="0.25">
      <c r="R78" s="58"/>
    </row>
    <row r="79" spans="18:18" s="10" customFormat="1" ht="12" customHeight="1" x14ac:dyDescent="0.25">
      <c r="R79" s="58"/>
    </row>
    <row r="80" spans="18:18" s="10" customFormat="1" ht="12" customHeight="1" x14ac:dyDescent="0.25">
      <c r="R80" s="58"/>
    </row>
    <row r="81" spans="1:18" s="10" customFormat="1" ht="14.45" customHeight="1" x14ac:dyDescent="0.25">
      <c r="R81" s="58"/>
    </row>
    <row r="82" spans="1:18" s="10" customFormat="1" ht="14.45" customHeight="1" x14ac:dyDescent="0.25">
      <c r="R82" s="58"/>
    </row>
    <row r="83" spans="1:18" s="10" customFormat="1" ht="15.75" hidden="1" customHeight="1" x14ac:dyDescent="0.25">
      <c r="R83" s="58"/>
    </row>
    <row r="84" spans="1:18" s="10" customFormat="1" ht="15.75" hidden="1" customHeight="1" x14ac:dyDescent="0.25">
      <c r="R84" s="58"/>
    </row>
    <row r="85" spans="1:18" s="10" customFormat="1" ht="14.45" customHeight="1" x14ac:dyDescent="0.25">
      <c r="R85" s="58"/>
    </row>
    <row r="86" spans="1:18" s="10" customFormat="1" ht="15.75" x14ac:dyDescent="0.25">
      <c r="I86" s="6"/>
      <c r="M86" s="5"/>
      <c r="R86" s="58"/>
    </row>
    <row r="87" spans="1:18" ht="15.75" x14ac:dyDescent="0.25">
      <c r="A87" s="10"/>
      <c r="B87" s="10"/>
      <c r="C87" s="10"/>
      <c r="D87" s="10"/>
      <c r="E87" s="10"/>
      <c r="F87" s="10"/>
      <c r="G87" s="10"/>
      <c r="H87" s="10"/>
    </row>
    <row r="88" spans="1:18" ht="15.75" x14ac:dyDescent="0.25">
      <c r="A88" s="10"/>
      <c r="B88" s="10"/>
      <c r="C88" s="10"/>
      <c r="D88" s="10"/>
      <c r="F88" s="10"/>
      <c r="G88" s="10"/>
      <c r="H88" s="10"/>
    </row>
    <row r="101" spans="3:18" ht="14.45" customHeight="1" x14ac:dyDescent="0.25">
      <c r="I101" s="5"/>
    </row>
    <row r="102" spans="3:18" ht="14.45" customHeight="1" x14ac:dyDescent="0.25">
      <c r="I102" s="5"/>
      <c r="R102" s="5"/>
    </row>
    <row r="103" spans="3:18" ht="14.45" customHeight="1" x14ac:dyDescent="0.25">
      <c r="I103" s="5"/>
      <c r="R103" s="5"/>
    </row>
    <row r="104" spans="3:18" ht="14.45" customHeight="1" x14ac:dyDescent="0.25">
      <c r="I104" s="5"/>
      <c r="R104" s="5"/>
    </row>
    <row r="105" spans="3:18" ht="14.45" customHeight="1" x14ac:dyDescent="0.25">
      <c r="E105" s="58"/>
      <c r="I105" s="5"/>
      <c r="R105" s="5"/>
    </row>
    <row r="106" spans="3:18" ht="14.45" customHeight="1" x14ac:dyDescent="0.25">
      <c r="C106" s="58"/>
      <c r="D106" s="58"/>
      <c r="E106" s="58"/>
      <c r="F106" s="58"/>
      <c r="I106" s="5"/>
      <c r="R106" s="5"/>
    </row>
    <row r="107" spans="3:18" ht="14.45" customHeight="1" x14ac:dyDescent="0.25">
      <c r="C107" s="58"/>
      <c r="D107" s="58"/>
      <c r="E107" s="58"/>
      <c r="F107" s="58"/>
      <c r="I107" s="5"/>
      <c r="R107" s="5"/>
    </row>
    <row r="108" spans="3:18" ht="14.45" customHeight="1" x14ac:dyDescent="0.25">
      <c r="C108" s="58"/>
      <c r="D108" s="58"/>
      <c r="E108" s="58"/>
      <c r="F108" s="58"/>
      <c r="I108" s="5"/>
      <c r="R108" s="5"/>
    </row>
    <row r="109" spans="3:18" ht="15.75" x14ac:dyDescent="0.25">
      <c r="C109" s="58"/>
      <c r="D109" s="58"/>
      <c r="F109" s="58"/>
      <c r="R109" s="5"/>
    </row>
    <row r="497" spans="1:21" s="6" customFormat="1" ht="15.75" x14ac:dyDescent="0.25">
      <c r="A497" s="5"/>
      <c r="B497" s="5"/>
      <c r="C497" s="5"/>
      <c r="D497" s="5"/>
      <c r="E497" s="5"/>
      <c r="F497" s="5"/>
      <c r="G497" s="5"/>
      <c r="H497" s="5"/>
      <c r="J497" s="5"/>
      <c r="K497" s="5"/>
      <c r="L497" s="5"/>
      <c r="M497" s="5"/>
      <c r="N497" s="5"/>
      <c r="O497" s="5"/>
      <c r="P497" s="5"/>
      <c r="Q497" s="5"/>
      <c r="R497" s="7"/>
      <c r="S497" s="5"/>
      <c r="T497" s="5"/>
      <c r="U497" s="5"/>
    </row>
  </sheetData>
  <mergeCells count="4">
    <mergeCell ref="C2:D2"/>
    <mergeCell ref="E2:F2"/>
    <mergeCell ref="G2:H2"/>
    <mergeCell ref="J29:L29"/>
  </mergeCells>
  <printOptions horizontalCentered="1"/>
  <pageMargins left="0.25" right="0.25" top="0.25" bottom="0.5" header="0" footer="0"/>
  <pageSetup paperSize="9" scale="52" orientation="landscape" blackAndWhite="1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Delay_Report</vt:lpstr>
      <vt:lpstr>Summary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2023-04-02T19:41:16Z</cp:lastPrinted>
  <dcterms:created xsi:type="dcterms:W3CDTF">2023-04-01T18:19:08Z</dcterms:created>
  <dcterms:modified xsi:type="dcterms:W3CDTF">2026-06-09T21:48:57Z</dcterms:modified>
</cp:coreProperties>
</file>